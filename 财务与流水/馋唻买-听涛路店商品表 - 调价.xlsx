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ithub localpath\ChanWeiMai\财务与流水\"/>
    </mc:Choice>
  </mc:AlternateContent>
  <xr:revisionPtr revIDLastSave="0" documentId="13_ncr:1_{456931E6-AEF3-4DDA-9BCC-AB98AAF099B2}" xr6:coauthVersionLast="47" xr6:coauthVersionMax="47" xr10:uidLastSave="{00000000-0000-0000-0000-000000000000}"/>
  <bookViews>
    <workbookView xWindow="2160" yWindow="1545" windowWidth="35070" windowHeight="19335" activeTab="1" xr2:uid="{00000000-000D-0000-FFFF-FFFF00000000}"/>
  </bookViews>
  <sheets>
    <sheet name="堂食利润" sheetId="1" r:id="rId1"/>
    <sheet name="菜单" sheetId="3" r:id="rId2"/>
  </sheets>
  <calcPr calcId="191029"/>
</workbook>
</file>

<file path=xl/calcChain.xml><?xml version="1.0" encoding="utf-8"?>
<calcChain xmlns="http://schemas.openxmlformats.org/spreadsheetml/2006/main">
  <c r="F20" i="1" l="1"/>
  <c r="M20" i="1" s="1"/>
  <c r="M35" i="1"/>
  <c r="K35" i="1"/>
  <c r="I35" i="1"/>
  <c r="L35" i="1" s="1"/>
  <c r="F34" i="1"/>
  <c r="M34" i="1" s="1"/>
  <c r="M33" i="1"/>
  <c r="K33" i="1"/>
  <c r="I33" i="1"/>
  <c r="L33" i="1" s="1"/>
  <c r="M32" i="1"/>
  <c r="K32" i="1"/>
  <c r="I32" i="1"/>
  <c r="M31" i="1"/>
  <c r="K31" i="1"/>
  <c r="I31" i="1"/>
  <c r="F30" i="1"/>
  <c r="I30" i="1" s="1"/>
  <c r="F29" i="1"/>
  <c r="M29" i="1" s="1"/>
  <c r="F28" i="1"/>
  <c r="M28" i="1" s="1"/>
  <c r="F27" i="1"/>
  <c r="I27" i="1" s="1"/>
  <c r="F26" i="1"/>
  <c r="M26" i="1" s="1"/>
  <c r="F25" i="1"/>
  <c r="M25" i="1" s="1"/>
  <c r="F24" i="1"/>
  <c r="M24" i="1" s="1"/>
  <c r="F23" i="1"/>
  <c r="M23" i="1" s="1"/>
  <c r="F22" i="1"/>
  <c r="K22" i="1" s="1"/>
  <c r="F19" i="1"/>
  <c r="M19" i="1" s="1"/>
  <c r="F18" i="1"/>
  <c r="K18" i="1" s="1"/>
  <c r="F17" i="1"/>
  <c r="M17" i="1" s="1"/>
  <c r="F16" i="1"/>
  <c r="M16" i="1" s="1"/>
  <c r="F15" i="1"/>
  <c r="M15" i="1" s="1"/>
  <c r="F14" i="1"/>
  <c r="M14" i="1" s="1"/>
  <c r="F13" i="1"/>
  <c r="K13" i="1" s="1"/>
  <c r="F12" i="1"/>
  <c r="K12" i="1" s="1"/>
  <c r="M11" i="1"/>
  <c r="K11" i="1"/>
  <c r="I11" i="1"/>
  <c r="L11" i="1" s="1"/>
  <c r="M10" i="1"/>
  <c r="K10" i="1"/>
  <c r="I10" i="1"/>
  <c r="M9" i="1"/>
  <c r="K9" i="1"/>
  <c r="I9" i="1"/>
  <c r="M8" i="1"/>
  <c r="K8" i="1"/>
  <c r="I8" i="1"/>
  <c r="M7" i="1"/>
  <c r="K7" i="1"/>
  <c r="I7" i="1"/>
  <c r="M6" i="1"/>
  <c r="K6" i="1"/>
  <c r="L6" i="1" s="1"/>
  <c r="I6" i="1"/>
  <c r="M5" i="1"/>
  <c r="K5" i="1"/>
  <c r="I5" i="1"/>
  <c r="L5" i="1" s="1"/>
  <c r="F4" i="1"/>
  <c r="I4" i="1" s="1"/>
  <c r="M3" i="1"/>
  <c r="K3" i="1"/>
  <c r="I3" i="1"/>
  <c r="F2" i="1"/>
  <c r="K2" i="1" s="1"/>
  <c r="K20" i="1" l="1"/>
  <c r="I20" i="1"/>
  <c r="M12" i="1"/>
  <c r="L31" i="1"/>
  <c r="K4" i="1"/>
  <c r="M4" i="1"/>
  <c r="L32" i="1"/>
  <c r="L7" i="1"/>
  <c r="L4" i="1"/>
  <c r="I19" i="1"/>
  <c r="L9" i="1"/>
  <c r="I15" i="1"/>
  <c r="K15" i="1"/>
  <c r="L10" i="1"/>
  <c r="I18" i="1"/>
  <c r="L18" i="1" s="1"/>
  <c r="L8" i="1"/>
  <c r="M18" i="1"/>
  <c r="L3" i="1"/>
  <c r="K30" i="1"/>
  <c r="L30" i="1" s="1"/>
  <c r="M22" i="1"/>
  <c r="I25" i="1"/>
  <c r="I28" i="1"/>
  <c r="I16" i="1"/>
  <c r="K25" i="1"/>
  <c r="L25" i="1" s="1"/>
  <c r="K28" i="1"/>
  <c r="M30" i="1"/>
  <c r="I2" i="1"/>
  <c r="L2" i="1" s="1"/>
  <c r="K16" i="1"/>
  <c r="I23" i="1"/>
  <c r="M13" i="1"/>
  <c r="K23" i="1"/>
  <c r="I34" i="1"/>
  <c r="K34" i="1"/>
  <c r="K19" i="1"/>
  <c r="I26" i="1"/>
  <c r="I29" i="1"/>
  <c r="K26" i="1"/>
  <c r="K29" i="1"/>
  <c r="K17" i="1"/>
  <c r="I24" i="1"/>
  <c r="K24" i="1"/>
  <c r="I13" i="1"/>
  <c r="L13" i="1" s="1"/>
  <c r="M2" i="1"/>
  <c r="I14" i="1"/>
  <c r="K14" i="1"/>
  <c r="I17" i="1"/>
  <c r="I12" i="1"/>
  <c r="L12" i="1" s="1"/>
  <c r="I22" i="1"/>
  <c r="L22" i="1" s="1"/>
  <c r="L15" i="1" l="1"/>
  <c r="L28" i="1"/>
  <c r="L24" i="1"/>
  <c r="L20" i="1"/>
  <c r="L34" i="1"/>
  <c r="L19" i="1"/>
  <c r="L23" i="1"/>
  <c r="L14" i="1"/>
  <c r="L16" i="1"/>
  <c r="L29" i="1"/>
  <c r="L17" i="1"/>
  <c r="L26" i="1"/>
</calcChain>
</file>

<file path=xl/sharedStrings.xml><?xml version="1.0" encoding="utf-8"?>
<sst xmlns="http://schemas.openxmlformats.org/spreadsheetml/2006/main" count="217" uniqueCount="120">
  <si>
    <t>SKU</t>
  </si>
  <si>
    <t>进货价格(元/500g)</t>
  </si>
  <si>
    <t>运费(元/500g)</t>
  </si>
  <si>
    <t>每份制作重量(g)</t>
  </si>
  <si>
    <t>成份说明</t>
  </si>
  <si>
    <t>食材成本(元/份)</t>
  </si>
  <si>
    <t>打包成本(元/份)</t>
  </si>
  <si>
    <t>调味成本(元/份)</t>
  </si>
  <si>
    <t>总成本(元/份)</t>
  </si>
  <si>
    <t>堂食价(元/份)</t>
  </si>
  <si>
    <t>毛利(元/份)</t>
  </si>
  <si>
    <t>利润率(%)</t>
  </si>
  <si>
    <t>毛利率(%)</t>
  </si>
  <si>
    <t>拇指小笼包</t>
  </si>
  <si>
    <t>小笼包</t>
  </si>
  <si>
    <t>沙县蒸饺</t>
  </si>
  <si>
    <t>蒸饺</t>
  </si>
  <si>
    <t>纯肉烤肠</t>
  </si>
  <si>
    <t>烤肠</t>
  </si>
  <si>
    <t>蜜汁鸭爪</t>
  </si>
  <si>
    <t>/</t>
  </si>
  <si>
    <t>鸭爪</t>
  </si>
  <si>
    <t>蜜汁鸡翅</t>
  </si>
  <si>
    <t>鸡翅</t>
  </si>
  <si>
    <t>烧卖3个（随机）</t>
  </si>
  <si>
    <t>烧卖</t>
  </si>
  <si>
    <t>包心鱼丸</t>
  </si>
  <si>
    <t>鱼丸</t>
  </si>
  <si>
    <t>潮汕牛肉丸</t>
  </si>
  <si>
    <t>牛丸</t>
  </si>
  <si>
    <t>可乐</t>
  </si>
  <si>
    <t>雪碧</t>
  </si>
  <si>
    <t>经典瘦肉丸(240g)</t>
  </si>
  <si>
    <t>瘦肉丸、调味品</t>
  </si>
  <si>
    <t>经典瘦肉丸(370g)</t>
  </si>
  <si>
    <t>肉筋瘦肉丸(240g)</t>
  </si>
  <si>
    <t>肉筋、调味品</t>
  </si>
  <si>
    <t>肉筋瘦肉丸(370g)</t>
  </si>
  <si>
    <t>牛肉瘦肉丸(200g)</t>
  </si>
  <si>
    <t>牛肉羹</t>
  </si>
  <si>
    <t>牛肉瘦肉丸(240g)</t>
  </si>
  <si>
    <t>牛肉瘦肉丸(370g)</t>
  </si>
  <si>
    <t>手工肉燕（180g)</t>
  </si>
  <si>
    <t>肉燕</t>
  </si>
  <si>
    <t>燕面</t>
  </si>
  <si>
    <t>燕面+瘦肉丸</t>
  </si>
  <si>
    <t>燕面、瘦肉丸、调味品</t>
  </si>
  <si>
    <t>燕面拌瘦肉丸</t>
  </si>
  <si>
    <t>酸笋瘦肉丸(240g)</t>
  </si>
  <si>
    <t>酸笋、瘦肉丸、调味品</t>
  </si>
  <si>
    <t>酸笋瘦肉丸(370g)</t>
  </si>
  <si>
    <t>金汤</t>
  </si>
  <si>
    <t>金汤酸菜瘦肉丸(240g)</t>
  </si>
  <si>
    <t>金汤、酸菜、瘦肉丸、调味品</t>
  </si>
  <si>
    <t>金汤酸菜瘦肉丸(370g)</t>
  </si>
  <si>
    <t>金汤酸菜泡面+瘦肉丸(370g)</t>
  </si>
  <si>
    <t>金汤、酸菜、瘦肉丸、泡面、调味品</t>
  </si>
  <si>
    <t>瘦肉丸、肉筋、调味品</t>
  </si>
  <si>
    <t>瘦肉丸、牛肉瘦肉丸、调味品</t>
  </si>
  <si>
    <t>三拼（经典+牛肉+肉燕）(370g)</t>
  </si>
  <si>
    <t>瘦肉丸、肉燕、肉牛瘦肉丸、调味品</t>
  </si>
  <si>
    <t>金汤酸菜弹粉+瘦肉丸(特大碗)</t>
  </si>
  <si>
    <t>金汤、酸菜、弹粉、瘦肉丸、调味品</t>
  </si>
  <si>
    <t>火鸡面拌瘦肉丸(119+90)</t>
  </si>
  <si>
    <t>火鸡面、瘦肉丸、调味品</t>
  </si>
  <si>
    <t>菜品名</t>
  </si>
  <si>
    <t>规格</t>
  </si>
  <si>
    <t>价格</t>
  </si>
  <si>
    <t>所属分类</t>
  </si>
  <si>
    <t xml:space="preserve">经典瘦肉丸 </t>
  </si>
  <si>
    <t>大份(240克)</t>
  </si>
  <si>
    <t>本店招牌</t>
  </si>
  <si>
    <t>特大份(370克)</t>
  </si>
  <si>
    <t>15元</t>
  </si>
  <si>
    <t>肉筋瘦肉丸</t>
  </si>
  <si>
    <t>牛肉羹瘦肉丸</t>
  </si>
  <si>
    <t>20元</t>
  </si>
  <si>
    <t>福鼎手工肉燕</t>
  </si>
  <si>
    <t>大份(180克)</t>
  </si>
  <si>
    <t>特大份(240克)</t>
  </si>
  <si>
    <t>剁椒干拌瘦肉丸</t>
  </si>
  <si>
    <t>约240克</t>
  </si>
  <si>
    <t>金汤酸菜瘦肉丸</t>
  </si>
  <si>
    <t>随心双拼(经典/牛肉羹/肉燕)</t>
  </si>
  <si>
    <t>自由搭配</t>
  </si>
  <si>
    <t>豪华三拼(经典+牛肉羹+肉燕)</t>
  </si>
  <si>
    <t>手工挂面</t>
  </si>
  <si>
    <t>约180克</t>
  </si>
  <si>
    <t>8元</t>
  </si>
  <si>
    <t>特色口味</t>
  </si>
  <si>
    <t>火鸡面干拌瘦肉丸(辣)</t>
  </si>
  <si>
    <t>13元</t>
  </si>
  <si>
    <t>燕面干拌瘦肉丸</t>
  </si>
  <si>
    <t>金汤酸菜泡面+瘦肉丸</t>
  </si>
  <si>
    <t>金汤酸菜弹粉+瘦肉丸</t>
  </si>
  <si>
    <t>沙县蒸饺(10只)</t>
  </si>
  <si>
    <t>10只</t>
  </si>
  <si>
    <t>6元</t>
  </si>
  <si>
    <t>特色小吃</t>
  </si>
  <si>
    <t>拇指小笼包(10只)</t>
  </si>
  <si>
    <t>福州鱼丸(8颗)</t>
  </si>
  <si>
    <t>8颗</t>
  </si>
  <si>
    <t>潮汕牛肉丸(8颗)</t>
  </si>
  <si>
    <t>纸皮烧卖(3只)</t>
  </si>
  <si>
    <t>3只(蛋黄/肉松)</t>
  </si>
  <si>
    <t>1个</t>
  </si>
  <si>
    <t>3元</t>
  </si>
  <si>
    <t>1根</t>
  </si>
  <si>
    <t>4元</t>
  </si>
  <si>
    <t>约370克</t>
    <phoneticPr fontId="11" type="noConversion"/>
  </si>
  <si>
    <t>手工肉燕（240g)</t>
    <phoneticPr fontId="11" type="noConversion"/>
  </si>
  <si>
    <t>双拼（经典+肉筋）(370g)</t>
    <phoneticPr fontId="11" type="noConversion"/>
  </si>
  <si>
    <t>双拼（经典+牛肉）(370g)</t>
    <phoneticPr fontId="11" type="noConversion"/>
  </si>
  <si>
    <t>拌瘦肉丸(240g)</t>
    <phoneticPr fontId="11" type="noConversion"/>
  </si>
  <si>
    <t>12元</t>
    <phoneticPr fontId="11" type="noConversion"/>
  </si>
  <si>
    <t>16元</t>
    <phoneticPr fontId="11" type="noConversion"/>
  </si>
  <si>
    <t>14元</t>
    <phoneticPr fontId="11" type="noConversion"/>
  </si>
  <si>
    <t>18元</t>
    <phoneticPr fontId="11" type="noConversion"/>
  </si>
  <si>
    <t>特色口味</t>
    <phoneticPr fontId="11" type="noConversion"/>
  </si>
  <si>
    <t>本店招牌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</si>
</sst>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\(0.000\)"/>
    <numFmt numFmtId="177" formatCode="0.00_);[Red]\(0.00\)"/>
    <numFmt numFmtId="178" formatCode="#,##0.00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Calibri"/>
      <family val="2"/>
    </font>
    <font>
      <b/>
      <sz val="11"/>
      <name val="宋体"/>
      <charset val="134"/>
    </font>
    <font>
      <sz val="11"/>
      <name val="Calibri"/>
      <family val="2"/>
    </font>
    <font>
      <sz val="11"/>
      <color theme="1"/>
      <name val="宋体"/>
      <charset val="134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trike/>
      <sz val="11"/>
      <color theme="1"/>
      <name val="宋体"/>
      <family val="3"/>
      <charset val="134"/>
    </font>
    <font>
      <strike/>
      <sz val="11"/>
      <color theme="1"/>
      <name val="宋体"/>
      <family val="3"/>
      <charset val="134"/>
    </font>
    <font>
      <strike/>
      <sz val="11"/>
      <name val="宋体"/>
      <family val="3"/>
      <charset val="134"/>
    </font>
    <font>
      <b/>
      <strike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  <font>
      <b/>
      <sz val="11"/>
      <color rgb="FFFF0000"/>
      <name val="Calibri"/>
      <family val="2"/>
    </font>
    <font>
      <sz val="1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4472C4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0" xfId="0" applyAlignment="1">
      <alignment wrapText="1"/>
    </xf>
    <xf numFmtId="0" fontId="2" fillId="0" borderId="0" xfId="0" applyFont="1"/>
    <xf numFmtId="177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4" fontId="3" fillId="0" borderId="0" xfId="0" applyNumberFormat="1" applyFont="1" applyAlignment="1">
      <alignment horizontal="center" wrapText="1"/>
    </xf>
    <xf numFmtId="178" fontId="0" fillId="0" borderId="0" xfId="0" applyNumberFormat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177" fontId="4" fillId="5" borderId="7" xfId="0" applyNumberFormat="1" applyFont="1" applyFill="1" applyBorder="1" applyAlignment="1">
      <alignment horizontal="center" wrapText="1"/>
    </xf>
    <xf numFmtId="3" fontId="4" fillId="5" borderId="7" xfId="0" applyNumberFormat="1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177" fontId="5" fillId="6" borderId="7" xfId="0" applyNumberFormat="1" applyFont="1" applyFill="1" applyBorder="1" applyAlignment="1">
      <alignment horizontal="center" vertical="center" wrapText="1"/>
    </xf>
    <xf numFmtId="3" fontId="5" fillId="6" borderId="7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3" fontId="7" fillId="6" borderId="7" xfId="0" applyNumberFormat="1" applyFont="1" applyFill="1" applyBorder="1" applyAlignment="1">
      <alignment horizontal="center" vertical="center" wrapText="1"/>
    </xf>
    <xf numFmtId="177" fontId="7" fillId="6" borderId="7" xfId="0" applyNumberFormat="1" applyFont="1" applyFill="1" applyBorder="1" applyAlignment="1">
      <alignment horizontal="center" vertical="center" wrapText="1"/>
    </xf>
    <xf numFmtId="4" fontId="4" fillId="5" borderId="7" xfId="0" applyNumberFormat="1" applyFont="1" applyFill="1" applyBorder="1" applyAlignment="1">
      <alignment horizontal="center" wrapText="1"/>
    </xf>
    <xf numFmtId="3" fontId="8" fillId="6" borderId="7" xfId="0" applyNumberFormat="1" applyFont="1" applyFill="1" applyBorder="1" applyAlignment="1">
      <alignment horizontal="center" vertical="center" wrapText="1"/>
    </xf>
    <xf numFmtId="4" fontId="5" fillId="7" borderId="7" xfId="0" applyNumberFormat="1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176" fontId="7" fillId="7" borderId="7" xfId="0" applyNumberFormat="1" applyFont="1" applyFill="1" applyBorder="1" applyAlignment="1">
      <alignment horizontal="center" vertical="center" wrapText="1"/>
    </xf>
    <xf numFmtId="178" fontId="4" fillId="5" borderId="7" xfId="0" applyNumberFormat="1" applyFont="1" applyFill="1" applyBorder="1" applyAlignment="1">
      <alignment horizont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178" fontId="5" fillId="7" borderId="7" xfId="0" applyNumberFormat="1" applyFont="1" applyFill="1" applyBorder="1" applyAlignment="1">
      <alignment horizontal="center" vertical="center" wrapText="1"/>
    </xf>
    <xf numFmtId="4" fontId="5" fillId="8" borderId="7" xfId="0" applyNumberFormat="1" applyFont="1" applyFill="1" applyBorder="1" applyAlignment="1">
      <alignment horizontal="center" vertical="center" wrapText="1"/>
    </xf>
    <xf numFmtId="176" fontId="9" fillId="7" borderId="7" xfId="0" applyNumberFormat="1" applyFont="1" applyFill="1" applyBorder="1" applyAlignment="1">
      <alignment horizontal="center" vertical="center" wrapText="1"/>
    </xf>
    <xf numFmtId="176" fontId="5" fillId="8" borderId="7" xfId="0" applyNumberFormat="1" applyFont="1" applyFill="1" applyBorder="1" applyAlignment="1">
      <alignment horizontal="center" vertical="center" wrapText="1"/>
    </xf>
    <xf numFmtId="176" fontId="10" fillId="7" borderId="7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/>
    <xf numFmtId="0" fontId="12" fillId="3" borderId="6" xfId="0" applyFont="1" applyFill="1" applyBorder="1"/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77" fontId="16" fillId="6" borderId="7" xfId="0" applyNumberFormat="1" applyFont="1" applyFill="1" applyBorder="1" applyAlignment="1">
      <alignment horizontal="center" vertical="center" wrapText="1"/>
    </xf>
    <xf numFmtId="3" fontId="16" fillId="6" borderId="7" xfId="0" applyNumberFormat="1" applyFont="1" applyFill="1" applyBorder="1" applyAlignment="1">
      <alignment horizontal="center" vertical="center" wrapText="1"/>
    </xf>
    <xf numFmtId="176" fontId="16" fillId="7" borderId="7" xfId="0" applyNumberFormat="1" applyFont="1" applyFill="1" applyBorder="1" applyAlignment="1">
      <alignment horizontal="center" vertical="center" wrapText="1"/>
    </xf>
    <xf numFmtId="176" fontId="17" fillId="7" borderId="7" xfId="0" applyNumberFormat="1" applyFont="1" applyFill="1" applyBorder="1" applyAlignment="1">
      <alignment horizontal="center" vertical="center" wrapText="1"/>
    </xf>
    <xf numFmtId="176" fontId="18" fillId="7" borderId="7" xfId="0" applyNumberFormat="1" applyFont="1" applyFill="1" applyBorder="1" applyAlignment="1">
      <alignment horizontal="center" vertical="center" wrapText="1"/>
    </xf>
    <xf numFmtId="176" fontId="16" fillId="8" borderId="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77" fontId="20" fillId="6" borderId="7" xfId="0" applyNumberFormat="1" applyFont="1" applyFill="1" applyBorder="1" applyAlignment="1">
      <alignment horizontal="center" vertical="center" wrapText="1"/>
    </xf>
    <xf numFmtId="3" fontId="20" fillId="6" borderId="7" xfId="0" applyNumberFormat="1" applyFont="1" applyFill="1" applyBorder="1" applyAlignment="1">
      <alignment horizontal="center" vertical="center" wrapText="1"/>
    </xf>
    <xf numFmtId="3" fontId="21" fillId="6" borderId="7" xfId="0" applyNumberFormat="1" applyFont="1" applyFill="1" applyBorder="1" applyAlignment="1">
      <alignment horizontal="center" vertical="center" wrapText="1"/>
    </xf>
    <xf numFmtId="176" fontId="20" fillId="7" borderId="7" xfId="0" applyNumberFormat="1" applyFont="1" applyFill="1" applyBorder="1" applyAlignment="1">
      <alignment horizontal="center" vertical="center" wrapText="1"/>
    </xf>
    <xf numFmtId="176" fontId="22" fillId="7" borderId="7" xfId="0" applyNumberFormat="1" applyFont="1" applyFill="1" applyBorder="1" applyAlignment="1">
      <alignment horizontal="center" vertical="center" wrapText="1"/>
    </xf>
    <xf numFmtId="176" fontId="20" fillId="8" borderId="7" xfId="0" applyNumberFormat="1" applyFont="1" applyFill="1" applyBorder="1" applyAlignment="1">
      <alignment horizontal="center" vertical="center" wrapText="1"/>
    </xf>
    <xf numFmtId="3" fontId="23" fillId="6" borderId="7" xfId="0" applyNumberFormat="1" applyFont="1" applyFill="1" applyBorder="1" applyAlignment="1">
      <alignment horizontal="center" vertical="center" wrapText="1"/>
    </xf>
    <xf numFmtId="176" fontId="7" fillId="8" borderId="7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/>
    <xf numFmtId="0" fontId="12" fillId="3" borderId="6" xfId="0" applyFont="1" applyFill="1" applyBorder="1" applyAlignment="1">
      <alignment horizontal="left"/>
    </xf>
  </cellXfs>
  <cellStyles count="1">
    <cellStyle name="常规" xfId="0" builtinId="0"/>
  </cellStyles>
  <dxfs count="13"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4" formatCode="#,##0.00"/>
      <fill>
        <patternFill patternType="solid">
          <bgColor rgb="FFFFFF0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numFmt numFmtId="178" formatCode="#,##0.00_ "/>
      <fill>
        <patternFill patternType="solid">
          <bgColor theme="3" tint="0.79989013336588644"/>
        </patternFill>
      </fill>
      <alignment horizontal="center" vertical="center"/>
      <border>
        <left/>
        <right style="thin">
          <color rgb="FF000000"/>
        </right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4" formatCode="#,##0.00"/>
      <fill>
        <patternFill patternType="solid">
          <bgColor theme="3" tint="0.79989013336588644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3" tint="0.79989013336588644"/>
        </patternFill>
      </fill>
      <alignment horizontal="center" vertical="center"/>
      <border>
        <left style="thin">
          <color rgb="FF000000"/>
        </left>
        <right/>
      </border>
    </dxf>
    <dxf>
      <fill>
        <patternFill patternType="solid">
          <bgColor theme="3" tint="0.79989013336588644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ill>
        <patternFill patternType="solid">
          <bgColor theme="3" tint="0.79989013336588644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3" formatCode="#,##0"/>
      <fill>
        <patternFill patternType="solid">
          <bgColor theme="0" tint="-0.1499069185460982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14990691854609822"/>
        </patternFill>
      </fill>
      <alignment horizontal="center" vertical="center"/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177" formatCode="0.00_);[Red]\(0.00\)"/>
      <fill>
        <patternFill patternType="solid">
          <bgColor theme="0" tint="-0.1499069185460982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77" formatCode="0.00_);[Red]\(0.00\)"/>
      <fill>
        <patternFill patternType="solid">
          <bgColor theme="0" tint="-0.14990691854609822"/>
        </patternFill>
      </fill>
      <alignment horizontal="center" vertical="center"/>
      <border>
        <right style="thin">
          <color rgb="FF000000"/>
        </right>
      </border>
    </dxf>
    <dxf>
      <font>
        <b/>
        <strike val="0"/>
        <u val="none"/>
        <sz val="11"/>
        <name val="宋体"/>
        <charset val="134"/>
        <scheme val="none"/>
      </font>
      <alignment horizontal="center" vertical="center"/>
      <border>
        <right style="thin">
          <color rgb="FF000000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Table" displayName="SKUTable" ref="A1:M35" totalsRowShown="0">
  <autoFilter ref="A1:M35" xr:uid="{00000000-0009-0000-0100-000001000000}"/>
  <tableColumns count="13">
    <tableColumn id="1" xr3:uid="{00000000-0010-0000-0000-000001000000}" name="SKU" dataDxfId="12"/>
    <tableColumn id="2" xr3:uid="{00000000-0010-0000-0000-000002000000}" name="进货价格(元/500g)" dataDxfId="11"/>
    <tableColumn id="11" xr3:uid="{00000000-0010-0000-0000-00000B000000}" name="运费(元/500g)" dataDxfId="10"/>
    <tableColumn id="3" xr3:uid="{00000000-0010-0000-0000-000003000000}" name="每份制作重量(g)" dataDxfId="9"/>
    <tableColumn id="10" xr3:uid="{00000000-0010-0000-0000-00000A000000}" name="成份说明" dataDxfId="8"/>
    <tableColumn id="4" xr3:uid="{00000000-0010-0000-0000-000004000000}" name="食材成本(元/份)" dataDxfId="7"/>
    <tableColumn id="5" xr3:uid="{00000000-0010-0000-0000-000005000000}" name="打包成本(元/份)" dataDxfId="6"/>
    <tableColumn id="6" xr3:uid="{00000000-0010-0000-0000-000006000000}" name="调味成本(元/份)" dataDxfId="5"/>
    <tableColumn id="12" xr3:uid="{00000000-0010-0000-0000-00000C000000}" name="总成本(元/份)" dataDxfId="4">
      <calculatedColumnFormula>SUM(SKUTable[[#This Row],[食材成本(元/份)]:[调味成本(元/份)]])</calculatedColumnFormula>
    </tableColumn>
    <tableColumn id="7" xr3:uid="{00000000-0010-0000-0000-000007000000}" name="堂食价(元/份)" dataDxfId="3"/>
    <tableColumn id="8" xr3:uid="{00000000-0010-0000-0000-000008000000}" name="毛利(元/份)" dataDxfId="2">
      <calculatedColumnFormula>J2-(F2+G2+H2)</calculatedColumnFormula>
    </tableColumn>
    <tableColumn id="13" xr3:uid="{00000000-0010-0000-0000-00000D000000}" name="利润率(%)" dataDxfId="1">
      <calculatedColumnFormula>SKUTable[[#This Row],[毛利(元/份)]]/SKUTable[[#This Row],[总成本(元/份)]]*100</calculatedColumnFormula>
    </tableColumn>
    <tableColumn id="9" xr3:uid="{00000000-0010-0000-0000-000009000000}" name="毛利率(%)" dataDxfId="0">
      <calculatedColumnFormula>(J2-(F2+G2+H2))/J2*100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9"/>
  <sheetViews>
    <sheetView workbookViewId="0">
      <pane ySplit="1" topLeftCell="A2" activePane="bottomLeft" state="frozen"/>
      <selection pane="bottomLeft" activeCell="N23" sqref="N23"/>
    </sheetView>
  </sheetViews>
  <sheetFormatPr defaultColWidth="9" defaultRowHeight="13.5"/>
  <cols>
    <col min="1" max="1" width="30.5" style="10" customWidth="1"/>
    <col min="2" max="2" width="14" style="11" customWidth="1"/>
    <col min="3" max="3" width="20.25" style="11" customWidth="1"/>
    <col min="4" max="4" width="23.875" style="12" customWidth="1"/>
    <col min="5" max="5" width="33.5" style="12" customWidth="1"/>
    <col min="6" max="6" width="18.625" style="13" customWidth="1"/>
    <col min="7" max="7" width="19.25" style="13" customWidth="1"/>
    <col min="8" max="8" width="18.625" style="13" customWidth="1"/>
    <col min="9" max="9" width="19.125" style="14" customWidth="1"/>
    <col min="10" max="10" width="18" style="15" customWidth="1"/>
    <col min="11" max="11" width="16.75" style="13" customWidth="1"/>
    <col min="12" max="12" width="17.625" style="13" customWidth="1"/>
    <col min="13" max="13" width="14.75" style="13" customWidth="1"/>
  </cols>
  <sheetData>
    <row r="1" spans="1:13" s="9" customFormat="1" ht="29.25" customHeight="1">
      <c r="A1" s="16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30" t="s">
        <v>9</v>
      </c>
      <c r="K1" s="25" t="s">
        <v>10</v>
      </c>
      <c r="L1" s="25" t="s">
        <v>11</v>
      </c>
      <c r="M1" s="25" t="s">
        <v>12</v>
      </c>
    </row>
    <row r="2" spans="1:13" ht="20.25" customHeight="1">
      <c r="A2" s="19" t="s">
        <v>13</v>
      </c>
      <c r="B2" s="20">
        <v>11</v>
      </c>
      <c r="C2" s="20">
        <v>0.5</v>
      </c>
      <c r="D2" s="21">
        <v>120</v>
      </c>
      <c r="E2" s="26" t="s">
        <v>14</v>
      </c>
      <c r="F2" s="27">
        <f>(B2+SKUTable[[#This Row],[运费(元/500g)]])*D2/500</f>
        <v>2.76</v>
      </c>
      <c r="G2" s="27">
        <v>0.2</v>
      </c>
      <c r="H2" s="27">
        <v>0.15</v>
      </c>
      <c r="I2" s="31">
        <f>SUM(SKUTable[[#This Row],[食材成本(元/份)]:[调味成本(元/份)]])</f>
        <v>3.11</v>
      </c>
      <c r="J2" s="32">
        <v>6</v>
      </c>
      <c r="K2" s="33">
        <f>J2-(F2+G2+H2)</f>
        <v>2.89</v>
      </c>
      <c r="L2" s="33">
        <f>SKUTable[[#This Row],[毛利(元/份)]]/SKUTable[[#This Row],[总成本(元/份)]]*100</f>
        <v>92.926045016077168</v>
      </c>
      <c r="M2" s="33">
        <f>(J2-(F2+G2+H2))/J2*100</f>
        <v>48.166666666666671</v>
      </c>
    </row>
    <row r="3" spans="1:13" ht="20.25" customHeight="1">
      <c r="A3" s="19" t="s">
        <v>15</v>
      </c>
      <c r="B3" s="20"/>
      <c r="C3" s="20"/>
      <c r="D3" s="21">
        <v>220</v>
      </c>
      <c r="E3" s="26" t="s">
        <v>16</v>
      </c>
      <c r="F3" s="27">
        <v>2.4500000000000002</v>
      </c>
      <c r="G3" s="27">
        <v>0.2</v>
      </c>
      <c r="H3" s="27">
        <v>0.15</v>
      </c>
      <c r="I3" s="31">
        <f>SUM(SKUTable[[#This Row],[食材成本(元/份)]:[调味成本(元/份)]])</f>
        <v>2.8000000000000003</v>
      </c>
      <c r="J3" s="32">
        <v>6</v>
      </c>
      <c r="K3" s="33">
        <f>J3-(F3+G3+H3)</f>
        <v>3.1999999999999997</v>
      </c>
      <c r="L3" s="33">
        <f>SKUTable[[#This Row],[毛利(元/份)]]/SKUTable[[#This Row],[总成本(元/份)]]*100</f>
        <v>114.28571428571426</v>
      </c>
      <c r="M3" s="33">
        <f>(J3-(F3+G3+H3))/J3*100</f>
        <v>53.333333333333336</v>
      </c>
    </row>
    <row r="4" spans="1:13" ht="20.25" customHeight="1">
      <c r="A4" s="19" t="s">
        <v>17</v>
      </c>
      <c r="B4" s="20">
        <v>8.8000000000000007</v>
      </c>
      <c r="C4" s="20">
        <v>0</v>
      </c>
      <c r="D4" s="21">
        <v>70</v>
      </c>
      <c r="E4" s="26" t="s">
        <v>18</v>
      </c>
      <c r="F4" s="27">
        <f>(B4+SKUTable[[#This Row],[运费(元/500g)]])*D4/500</f>
        <v>1.232</v>
      </c>
      <c r="G4" s="27">
        <v>0.05</v>
      </c>
      <c r="H4" s="27">
        <v>0</v>
      </c>
      <c r="I4" s="31">
        <f>SUM(SKUTable[[#This Row],[食材成本(元/份)]:[调味成本(元/份)]])</f>
        <v>1.282</v>
      </c>
      <c r="J4" s="32">
        <v>4</v>
      </c>
      <c r="K4" s="33">
        <f t="shared" ref="K4:K35" si="0">J4-(F4+G4+H4)</f>
        <v>2.718</v>
      </c>
      <c r="L4" s="33">
        <f>SKUTable[[#This Row],[毛利(元/份)]]/SKUTable[[#This Row],[总成本(元/份)]]*100</f>
        <v>212.01248049921998</v>
      </c>
      <c r="M4" s="33">
        <f t="shared" ref="M4:M35" si="1">(J4-(F4+G4+H4))/J4*100</f>
        <v>67.95</v>
      </c>
    </row>
    <row r="5" spans="1:13" ht="20.25" customHeight="1">
      <c r="A5" s="19" t="s">
        <v>19</v>
      </c>
      <c r="B5" s="20" t="s">
        <v>20</v>
      </c>
      <c r="C5" s="20" t="s">
        <v>20</v>
      </c>
      <c r="D5" s="20" t="s">
        <v>20</v>
      </c>
      <c r="E5" s="26" t="s">
        <v>21</v>
      </c>
      <c r="F5" s="27">
        <v>1.3</v>
      </c>
      <c r="G5" s="27">
        <v>0.05</v>
      </c>
      <c r="H5" s="27">
        <v>0</v>
      </c>
      <c r="I5" s="31">
        <f>SUM(SKUTable[[#This Row],[食材成本(元/份)]:[调味成本(元/份)]])</f>
        <v>1.35</v>
      </c>
      <c r="J5" s="32">
        <v>3</v>
      </c>
      <c r="K5" s="33">
        <f t="shared" si="0"/>
        <v>1.65</v>
      </c>
      <c r="L5" s="33">
        <f>SKUTable[[#This Row],[毛利(元/份)]]/SKUTable[[#This Row],[总成本(元/份)]]*100</f>
        <v>122.22222222222221</v>
      </c>
      <c r="M5" s="33">
        <f t="shared" si="1"/>
        <v>54.999999999999993</v>
      </c>
    </row>
    <row r="6" spans="1:13" ht="20.25" customHeight="1">
      <c r="A6" s="19" t="s">
        <v>22</v>
      </c>
      <c r="B6" s="20" t="s">
        <v>20</v>
      </c>
      <c r="C6" s="20" t="s">
        <v>20</v>
      </c>
      <c r="D6" s="20" t="s">
        <v>20</v>
      </c>
      <c r="E6" s="26" t="s">
        <v>23</v>
      </c>
      <c r="F6" s="27">
        <v>2.8</v>
      </c>
      <c r="G6" s="27">
        <v>0.05</v>
      </c>
      <c r="H6" s="27">
        <v>0</v>
      </c>
      <c r="I6" s="31">
        <f>SUM(SKUTable[[#This Row],[食材成本(元/份)]:[调味成本(元/份)]])</f>
        <v>2.8499999999999996</v>
      </c>
      <c r="J6" s="32">
        <v>6</v>
      </c>
      <c r="K6" s="33">
        <f t="shared" si="0"/>
        <v>3.1500000000000004</v>
      </c>
      <c r="L6" s="33">
        <f>SKUTable[[#This Row],[毛利(元/份)]]/SKUTable[[#This Row],[总成本(元/份)]]*100</f>
        <v>110.52631578947371</v>
      </c>
      <c r="M6" s="33">
        <f t="shared" si="1"/>
        <v>52.5</v>
      </c>
    </row>
    <row r="7" spans="1:13" ht="20.25" customHeight="1">
      <c r="A7" s="22" t="s">
        <v>24</v>
      </c>
      <c r="B7" s="20" t="s">
        <v>20</v>
      </c>
      <c r="C7" s="20" t="s">
        <v>20</v>
      </c>
      <c r="D7" s="20" t="s">
        <v>20</v>
      </c>
      <c r="E7" s="26" t="s">
        <v>25</v>
      </c>
      <c r="F7" s="28">
        <v>3.24</v>
      </c>
      <c r="G7" s="28">
        <v>0.2</v>
      </c>
      <c r="H7" s="28">
        <v>0</v>
      </c>
      <c r="I7" s="34">
        <f>SUM(SKUTable[[#This Row],[食材成本(元/份)]:[调味成本(元/份)]])</f>
        <v>3.4400000000000004</v>
      </c>
      <c r="J7" s="28">
        <v>8</v>
      </c>
      <c r="K7" s="35">
        <f t="shared" si="0"/>
        <v>4.5599999999999996</v>
      </c>
      <c r="L7" s="35">
        <f>SKUTable[[#This Row],[毛利(元/份)]]/SKUTable[[#This Row],[总成本(元/份)]]*100</f>
        <v>132.55813953488368</v>
      </c>
      <c r="M7" s="35">
        <f t="shared" si="1"/>
        <v>56.999999999999993</v>
      </c>
    </row>
    <row r="8" spans="1:13" ht="20.25" customHeight="1">
      <c r="A8" s="22" t="s">
        <v>26</v>
      </c>
      <c r="B8" s="20" t="s">
        <v>20</v>
      </c>
      <c r="C8" s="20" t="s">
        <v>20</v>
      </c>
      <c r="D8" s="20" t="s">
        <v>20</v>
      </c>
      <c r="E8" s="26" t="s">
        <v>27</v>
      </c>
      <c r="F8" s="28">
        <v>0.4</v>
      </c>
      <c r="G8" s="28">
        <v>0</v>
      </c>
      <c r="H8" s="28">
        <v>0</v>
      </c>
      <c r="I8" s="34">
        <f>SUM(SKUTable[[#This Row],[食材成本(元/份)]:[调味成本(元/份)]])</f>
        <v>0.4</v>
      </c>
      <c r="J8" s="28">
        <v>1.25</v>
      </c>
      <c r="K8" s="35">
        <f t="shared" si="0"/>
        <v>0.85</v>
      </c>
      <c r="L8" s="35">
        <f>SKUTable[[#This Row],[毛利(元/份)]]/SKUTable[[#This Row],[总成本(元/份)]]*100</f>
        <v>212.5</v>
      </c>
      <c r="M8" s="35">
        <f t="shared" si="1"/>
        <v>68</v>
      </c>
    </row>
    <row r="9" spans="1:13" ht="20.25" customHeight="1">
      <c r="A9" s="19" t="s">
        <v>28</v>
      </c>
      <c r="B9" s="20" t="s">
        <v>20</v>
      </c>
      <c r="C9" s="20" t="s">
        <v>20</v>
      </c>
      <c r="D9" s="20" t="s">
        <v>20</v>
      </c>
      <c r="E9" s="26" t="s">
        <v>29</v>
      </c>
      <c r="F9" s="28">
        <v>0.45</v>
      </c>
      <c r="G9" s="28">
        <v>0</v>
      </c>
      <c r="H9" s="28">
        <v>0</v>
      </c>
      <c r="I9" s="34">
        <f>SUM(SKUTable[[#This Row],[食材成本(元/份)]:[调味成本(元/份)]])</f>
        <v>0.45</v>
      </c>
      <c r="J9" s="28">
        <v>1.25</v>
      </c>
      <c r="K9" s="35">
        <f t="shared" si="0"/>
        <v>0.8</v>
      </c>
      <c r="L9" s="35">
        <f>SKUTable[[#This Row],[毛利(元/份)]]/SKUTable[[#This Row],[总成本(元/份)]]*100</f>
        <v>177.7777777777778</v>
      </c>
      <c r="M9" s="35">
        <f t="shared" si="1"/>
        <v>64</v>
      </c>
    </row>
    <row r="10" spans="1:13" ht="20.25" customHeight="1">
      <c r="A10" s="19" t="s">
        <v>30</v>
      </c>
      <c r="B10" s="20" t="s">
        <v>20</v>
      </c>
      <c r="C10" s="20" t="s">
        <v>20</v>
      </c>
      <c r="D10" s="20" t="s">
        <v>20</v>
      </c>
      <c r="E10" s="26" t="s">
        <v>30</v>
      </c>
      <c r="F10" s="28">
        <v>1.37</v>
      </c>
      <c r="G10" s="28">
        <v>0</v>
      </c>
      <c r="H10" s="28">
        <v>0</v>
      </c>
      <c r="I10" s="34">
        <f>SUM(SKUTable[[#This Row],[食材成本(元/份)]:[调味成本(元/份)]])</f>
        <v>1.37</v>
      </c>
      <c r="J10" s="28">
        <v>2.5</v>
      </c>
      <c r="K10" s="35">
        <f t="shared" si="0"/>
        <v>1.1299999999999999</v>
      </c>
      <c r="L10" s="35">
        <f>SKUTable[[#This Row],[毛利(元/份)]]/SKUTable[[#This Row],[总成本(元/份)]]*100</f>
        <v>82.481751824817508</v>
      </c>
      <c r="M10" s="35">
        <f t="shared" si="1"/>
        <v>45.199999999999996</v>
      </c>
    </row>
    <row r="11" spans="1:13" ht="20.25" customHeight="1">
      <c r="A11" s="19" t="s">
        <v>31</v>
      </c>
      <c r="B11" s="20" t="s">
        <v>20</v>
      </c>
      <c r="C11" s="20" t="s">
        <v>20</v>
      </c>
      <c r="D11" s="20" t="s">
        <v>20</v>
      </c>
      <c r="E11" s="26" t="s">
        <v>31</v>
      </c>
      <c r="F11" s="28">
        <v>1.37</v>
      </c>
      <c r="G11" s="28">
        <v>0</v>
      </c>
      <c r="H11" s="28">
        <v>0</v>
      </c>
      <c r="I11" s="34">
        <f>SUM(SKUTable[[#This Row],[食材成本(元/份)]:[调味成本(元/份)]])</f>
        <v>1.37</v>
      </c>
      <c r="J11" s="28">
        <v>2.5</v>
      </c>
      <c r="K11" s="35">
        <f t="shared" si="0"/>
        <v>1.1299999999999999</v>
      </c>
      <c r="L11" s="35">
        <f>SKUTable[[#This Row],[毛利(元/份)]]/SKUTable[[#This Row],[总成本(元/份)]]*100</f>
        <v>82.481751824817508</v>
      </c>
      <c r="M11" s="35">
        <f t="shared" si="1"/>
        <v>45.199999999999996</v>
      </c>
    </row>
    <row r="12" spans="1:13" ht="20.25" customHeight="1">
      <c r="A12" s="19" t="s">
        <v>32</v>
      </c>
      <c r="B12" s="20">
        <v>8</v>
      </c>
      <c r="C12" s="20">
        <v>0.5</v>
      </c>
      <c r="D12" s="21">
        <v>165</v>
      </c>
      <c r="E12" s="26" t="s">
        <v>33</v>
      </c>
      <c r="F12" s="28">
        <f>(B12+SKUTable[[#This Row],[运费(元/500g)]])*D12/500</f>
        <v>2.8050000000000002</v>
      </c>
      <c r="G12" s="28">
        <v>0.68500000000000005</v>
      </c>
      <c r="H12" s="28">
        <v>0.2</v>
      </c>
      <c r="I12" s="34">
        <f>SUM(SKUTable[[#This Row],[食材成本(元/份)]:[调味成本(元/份)]])</f>
        <v>3.6900000000000004</v>
      </c>
      <c r="J12" s="28">
        <v>12</v>
      </c>
      <c r="K12" s="35">
        <f t="shared" si="0"/>
        <v>8.3099999999999987</v>
      </c>
      <c r="L12" s="35">
        <f>SKUTable[[#This Row],[毛利(元/份)]]/SKUTable[[#This Row],[总成本(元/份)]]*100</f>
        <v>225.20325203252028</v>
      </c>
      <c r="M12" s="35">
        <f t="shared" si="1"/>
        <v>69.249999999999986</v>
      </c>
    </row>
    <row r="13" spans="1:13" ht="20.25" customHeight="1">
      <c r="A13" s="19" t="s">
        <v>34</v>
      </c>
      <c r="B13" s="20">
        <v>8</v>
      </c>
      <c r="C13" s="20">
        <v>0.5</v>
      </c>
      <c r="D13" s="21">
        <v>260</v>
      </c>
      <c r="E13" s="26" t="s">
        <v>33</v>
      </c>
      <c r="F13" s="28">
        <f>(B13+SKUTable[[#This Row],[运费(元/500g)]])*D13/500</f>
        <v>4.42</v>
      </c>
      <c r="G13" s="28">
        <v>0.82</v>
      </c>
      <c r="H13" s="28">
        <v>0.2</v>
      </c>
      <c r="I13" s="34">
        <f>SUM(SKUTable[[#This Row],[食材成本(元/份)]:[调味成本(元/份)]])</f>
        <v>5.44</v>
      </c>
      <c r="J13" s="28">
        <v>16</v>
      </c>
      <c r="K13" s="35">
        <f t="shared" si="0"/>
        <v>10.559999999999999</v>
      </c>
      <c r="L13" s="35">
        <f>SKUTable[[#This Row],[毛利(元/份)]]/SKUTable[[#This Row],[总成本(元/份)]]*100</f>
        <v>194.11764705882348</v>
      </c>
      <c r="M13" s="35">
        <f t="shared" si="1"/>
        <v>65.999999999999986</v>
      </c>
    </row>
    <row r="14" spans="1:13" ht="18.75" customHeight="1">
      <c r="A14" s="19" t="s">
        <v>35</v>
      </c>
      <c r="B14" s="20">
        <v>10</v>
      </c>
      <c r="C14" s="20">
        <v>0.5</v>
      </c>
      <c r="D14" s="21">
        <v>165</v>
      </c>
      <c r="E14" s="26" t="s">
        <v>36</v>
      </c>
      <c r="F14" s="28">
        <f>IF(B14&lt;&gt;"",B14*D14/500,"")</f>
        <v>3.3</v>
      </c>
      <c r="G14" s="28">
        <v>0.68500000000000005</v>
      </c>
      <c r="H14" s="28">
        <v>0.2</v>
      </c>
      <c r="I14" s="34">
        <f>SUM(SKUTable[[#This Row],[食材成本(元/份)]:[调味成本(元/份)]])</f>
        <v>4.1849999999999996</v>
      </c>
      <c r="J14" s="28">
        <v>14</v>
      </c>
      <c r="K14" s="35">
        <f t="shared" si="0"/>
        <v>9.8150000000000013</v>
      </c>
      <c r="L14" s="35">
        <f>SKUTable[[#This Row],[毛利(元/份)]]/SKUTable[[#This Row],[总成本(元/份)]]*100</f>
        <v>234.52807646356041</v>
      </c>
      <c r="M14" s="35">
        <f t="shared" si="1"/>
        <v>70.107142857142861</v>
      </c>
    </row>
    <row r="15" spans="1:13" ht="18.75" customHeight="1">
      <c r="A15" s="19" t="s">
        <v>37</v>
      </c>
      <c r="B15" s="20">
        <v>10</v>
      </c>
      <c r="C15" s="20">
        <v>0.5</v>
      </c>
      <c r="D15" s="21">
        <v>260</v>
      </c>
      <c r="E15" s="26" t="s">
        <v>36</v>
      </c>
      <c r="F15" s="28">
        <f>IF(B15&lt;&gt;"",B15*D15/500,"")</f>
        <v>5.2</v>
      </c>
      <c r="G15" s="28">
        <v>0.82</v>
      </c>
      <c r="H15" s="28">
        <v>0.2</v>
      </c>
      <c r="I15" s="34">
        <f>SUM(SKUTable[[#This Row],[食材成本(元/份)]:[调味成本(元/份)]])</f>
        <v>6.2200000000000006</v>
      </c>
      <c r="J15" s="28">
        <v>18</v>
      </c>
      <c r="K15" s="35">
        <f t="shared" si="0"/>
        <v>11.78</v>
      </c>
      <c r="L15" s="35">
        <f>SKUTable[[#This Row],[毛利(元/份)]]/SKUTable[[#This Row],[总成本(元/份)]]*100</f>
        <v>189.38906752411572</v>
      </c>
      <c r="M15" s="35">
        <f t="shared" si="1"/>
        <v>65.444444444444443</v>
      </c>
    </row>
    <row r="16" spans="1:13" ht="18.75" customHeight="1">
      <c r="A16" s="22" t="s">
        <v>38</v>
      </c>
      <c r="B16" s="20">
        <v>17</v>
      </c>
      <c r="C16" s="20">
        <v>0.5</v>
      </c>
      <c r="D16" s="21">
        <v>135</v>
      </c>
      <c r="E16" s="26" t="s">
        <v>39</v>
      </c>
      <c r="F16" s="28">
        <f t="shared" ref="F16" si="2">IF(B16&lt;&gt;"",B16*D16/500,"")</f>
        <v>4.59</v>
      </c>
      <c r="G16" s="28">
        <v>0.68500000000000005</v>
      </c>
      <c r="H16" s="28">
        <v>0.2</v>
      </c>
      <c r="I16" s="34">
        <f>SUM(SKUTable[[#This Row],[食材成本(元/份)]:[调味成本(元/份)]])</f>
        <v>5.4750000000000005</v>
      </c>
      <c r="J16" s="28"/>
      <c r="K16" s="35">
        <f t="shared" ref="K16" si="3">J16-(F16+G16+H16)</f>
        <v>-5.4750000000000005</v>
      </c>
      <c r="L16" s="35">
        <f>SKUTable[[#This Row],[毛利(元/份)]]/SKUTable[[#This Row],[总成本(元/份)]]*100</f>
        <v>-100</v>
      </c>
      <c r="M16" s="35" t="e">
        <f t="shared" ref="M16" si="4">(J16-(F16+G16+H16))/J16*100</f>
        <v>#DIV/0!</v>
      </c>
    </row>
    <row r="17" spans="1:13" ht="18.75" customHeight="1">
      <c r="A17" s="22" t="s">
        <v>40</v>
      </c>
      <c r="B17" s="20">
        <v>17</v>
      </c>
      <c r="C17" s="20">
        <v>0.5</v>
      </c>
      <c r="D17" s="21">
        <v>165</v>
      </c>
      <c r="E17" s="26" t="s">
        <v>39</v>
      </c>
      <c r="F17" s="28">
        <f t="shared" ref="F17:F34" si="5">IF(B17&lt;&gt;"",B17*D17/500,"")</f>
        <v>5.61</v>
      </c>
      <c r="G17" s="28">
        <v>0.68500000000000005</v>
      </c>
      <c r="H17" s="28">
        <v>0.2</v>
      </c>
      <c r="I17" s="34">
        <f>SUM(SKUTable[[#This Row],[食材成本(元/份)]:[调味成本(元/份)]])</f>
        <v>6.4950000000000001</v>
      </c>
      <c r="J17" s="28">
        <v>15</v>
      </c>
      <c r="K17" s="35">
        <f t="shared" si="0"/>
        <v>8.504999999999999</v>
      </c>
      <c r="L17" s="35">
        <f>SKUTable[[#This Row],[毛利(元/份)]]/SKUTable[[#This Row],[总成本(元/份)]]*100</f>
        <v>130.94688221709006</v>
      </c>
      <c r="M17" s="35">
        <f t="shared" si="1"/>
        <v>56.699999999999996</v>
      </c>
    </row>
    <row r="18" spans="1:13" ht="18.75" customHeight="1">
      <c r="A18" s="22" t="s">
        <v>41</v>
      </c>
      <c r="B18" s="20">
        <v>17</v>
      </c>
      <c r="C18" s="20">
        <v>0.5</v>
      </c>
      <c r="D18" s="21">
        <v>260</v>
      </c>
      <c r="E18" s="26" t="s">
        <v>39</v>
      </c>
      <c r="F18" s="28">
        <f t="shared" si="5"/>
        <v>8.84</v>
      </c>
      <c r="G18" s="28">
        <v>0.82</v>
      </c>
      <c r="H18" s="28">
        <v>0.2</v>
      </c>
      <c r="I18" s="34">
        <f>SUM(SKUTable[[#This Row],[食材成本(元/份)]:[调味成本(元/份)]])</f>
        <v>9.86</v>
      </c>
      <c r="J18" s="28">
        <v>20</v>
      </c>
      <c r="K18" s="35">
        <f t="shared" si="0"/>
        <v>10.14</v>
      </c>
      <c r="L18" s="35">
        <f>SKUTable[[#This Row],[毛利(元/份)]]/SKUTable[[#This Row],[总成本(元/份)]]*100</f>
        <v>102.8397565922921</v>
      </c>
      <c r="M18" s="35">
        <f t="shared" si="1"/>
        <v>50.7</v>
      </c>
    </row>
    <row r="19" spans="1:13" ht="18.75" customHeight="1">
      <c r="A19" s="39" t="s">
        <v>42</v>
      </c>
      <c r="B19" s="24">
        <v>18</v>
      </c>
      <c r="C19" s="24">
        <v>0.5</v>
      </c>
      <c r="D19" s="23">
        <v>100</v>
      </c>
      <c r="E19" s="55" t="s">
        <v>43</v>
      </c>
      <c r="F19" s="29">
        <f t="shared" si="5"/>
        <v>3.6</v>
      </c>
      <c r="G19" s="29">
        <v>0.68500000000000005</v>
      </c>
      <c r="H19" s="29">
        <v>0.2</v>
      </c>
      <c r="I19" s="36">
        <f>SUM(SKUTable[[#This Row],[食材成本(元/份)]:[调味成本(元/份)]])</f>
        <v>4.4850000000000003</v>
      </c>
      <c r="J19" s="29">
        <v>10</v>
      </c>
      <c r="K19" s="56">
        <f t="shared" si="0"/>
        <v>5.5149999999999997</v>
      </c>
      <c r="L19" s="56">
        <f>SKUTable[[#This Row],[毛利(元/份)]]/SKUTable[[#This Row],[总成本(元/份)]]*100</f>
        <v>122.96544035674468</v>
      </c>
      <c r="M19" s="56">
        <f t="shared" si="1"/>
        <v>55.15</v>
      </c>
    </row>
    <row r="20" spans="1:13" ht="18.75" customHeight="1">
      <c r="A20" s="39" t="s">
        <v>110</v>
      </c>
      <c r="B20" s="20">
        <v>18</v>
      </c>
      <c r="C20" s="20">
        <v>0.5</v>
      </c>
      <c r="D20" s="21">
        <v>135</v>
      </c>
      <c r="E20" s="26" t="s">
        <v>43</v>
      </c>
      <c r="F20" s="28">
        <f t="shared" ref="F20" si="6">IF(B20&lt;&gt;"",B20*D20/500,"")</f>
        <v>4.8600000000000003</v>
      </c>
      <c r="G20" s="28">
        <v>0.68500000000000005</v>
      </c>
      <c r="H20" s="28">
        <v>0.2</v>
      </c>
      <c r="I20" s="34">
        <f>SUM(SKUTable[[#This Row],[食材成本(元/份)]:[调味成本(元/份)]])</f>
        <v>5.7450000000000001</v>
      </c>
      <c r="J20" s="28">
        <v>15</v>
      </c>
      <c r="K20" s="35">
        <f t="shared" ref="K20" si="7">J20-(F20+G20+H20)</f>
        <v>9.254999999999999</v>
      </c>
      <c r="L20" s="35">
        <f>SKUTable[[#This Row],[毛利(元/份)]]/SKUTable[[#This Row],[总成本(元/份)]]*100</f>
        <v>161.0966057441253</v>
      </c>
      <c r="M20" s="35">
        <f t="shared" ref="M20" si="8">(J20-(F20+G20+H20))/J20*100</f>
        <v>61.699999999999989</v>
      </c>
    </row>
    <row r="21" spans="1:13" ht="18.75" customHeight="1">
      <c r="A21" s="22" t="s">
        <v>44</v>
      </c>
      <c r="B21" s="20">
        <v>19</v>
      </c>
      <c r="C21" s="20">
        <v>0.5</v>
      </c>
      <c r="D21" s="21" t="s">
        <v>20</v>
      </c>
      <c r="E21" s="26" t="s">
        <v>44</v>
      </c>
      <c r="F21" s="28"/>
      <c r="G21" s="28"/>
      <c r="H21" s="28"/>
      <c r="I21" s="34"/>
      <c r="J21" s="28"/>
      <c r="K21" s="35"/>
      <c r="L21" s="35"/>
      <c r="M21" s="35"/>
    </row>
    <row r="22" spans="1:13" ht="18.75" customHeight="1">
      <c r="A22" s="22" t="s">
        <v>45</v>
      </c>
      <c r="B22" s="20">
        <v>19</v>
      </c>
      <c r="C22" s="20">
        <v>0.5</v>
      </c>
      <c r="D22" s="21">
        <v>90</v>
      </c>
      <c r="E22" s="26" t="s">
        <v>46</v>
      </c>
      <c r="F22" s="28">
        <f t="shared" si="5"/>
        <v>3.42</v>
      </c>
      <c r="G22" s="28"/>
      <c r="H22" s="28">
        <v>2.5</v>
      </c>
      <c r="I22" s="34">
        <f>SUM(SKUTable[[#This Row],[食材成本(元/份)]:[调味成本(元/份)]])</f>
        <v>5.92</v>
      </c>
      <c r="J22" s="28">
        <v>13</v>
      </c>
      <c r="K22" s="35">
        <f t="shared" si="0"/>
        <v>7.08</v>
      </c>
      <c r="L22" s="35">
        <f>SKUTable[[#This Row],[毛利(元/份)]]/SKUTable[[#This Row],[总成本(元/份)]]*100</f>
        <v>119.59459459459461</v>
      </c>
      <c r="M22" s="35">
        <f t="shared" si="1"/>
        <v>54.46153846153846</v>
      </c>
    </row>
    <row r="23" spans="1:13" ht="18.75" customHeight="1">
      <c r="A23" s="22" t="s">
        <v>47</v>
      </c>
      <c r="B23" s="20">
        <v>19</v>
      </c>
      <c r="C23" s="20">
        <v>0.5</v>
      </c>
      <c r="D23" s="21">
        <v>70</v>
      </c>
      <c r="E23" s="26" t="s">
        <v>46</v>
      </c>
      <c r="F23" s="28">
        <f t="shared" si="5"/>
        <v>2.66</v>
      </c>
      <c r="G23" s="28"/>
      <c r="H23" s="28">
        <v>2.5</v>
      </c>
      <c r="I23" s="34">
        <f>SUM(SKUTable[[#This Row],[食材成本(元/份)]:[调味成本(元/份)]])</f>
        <v>5.16</v>
      </c>
      <c r="J23" s="28">
        <v>13</v>
      </c>
      <c r="K23" s="35">
        <f t="shared" si="0"/>
        <v>7.84</v>
      </c>
      <c r="L23" s="35">
        <f>SKUTable[[#This Row],[毛利(元/份)]]/SKUTable[[#This Row],[总成本(元/份)]]*100</f>
        <v>151.93798449612405</v>
      </c>
      <c r="M23" s="35">
        <f t="shared" si="1"/>
        <v>60.307692307692307</v>
      </c>
    </row>
    <row r="24" spans="1:13" ht="18.75" customHeight="1">
      <c r="A24" s="39" t="s">
        <v>113</v>
      </c>
      <c r="B24" s="20">
        <v>8</v>
      </c>
      <c r="C24" s="20">
        <v>0.5</v>
      </c>
      <c r="D24" s="21">
        <v>165</v>
      </c>
      <c r="E24" s="26" t="s">
        <v>33</v>
      </c>
      <c r="F24" s="28">
        <f t="shared" si="5"/>
        <v>2.64</v>
      </c>
      <c r="G24" s="28">
        <v>0.82</v>
      </c>
      <c r="H24" s="29">
        <v>0.5</v>
      </c>
      <c r="I24" s="36">
        <f>SUM(SKUTable[[#This Row],[食材成本(元/份)]:[调味成本(元/份)]])</f>
        <v>3.96</v>
      </c>
      <c r="J24" s="28">
        <v>15</v>
      </c>
      <c r="K24" s="35">
        <f t="shared" si="0"/>
        <v>11.04</v>
      </c>
      <c r="L24" s="35">
        <f>SKUTable[[#This Row],[毛利(元/份)]]/SKUTable[[#This Row],[总成本(元/份)]]*100</f>
        <v>278.78787878787875</v>
      </c>
      <c r="M24" s="35">
        <f t="shared" si="1"/>
        <v>73.599999999999994</v>
      </c>
    </row>
    <row r="25" spans="1:13" ht="18.75" customHeight="1">
      <c r="A25" s="40" t="s">
        <v>48</v>
      </c>
      <c r="B25" s="41">
        <v>9.09</v>
      </c>
      <c r="C25" s="41">
        <v>0.5</v>
      </c>
      <c r="D25" s="42">
        <v>165</v>
      </c>
      <c r="E25" s="42" t="s">
        <v>49</v>
      </c>
      <c r="F25" s="43">
        <f t="shared" si="5"/>
        <v>2.9996999999999998</v>
      </c>
      <c r="G25" s="43">
        <v>0.68500000000000005</v>
      </c>
      <c r="H25" s="44">
        <v>1.5</v>
      </c>
      <c r="I25" s="45">
        <f>SUM(SKUTable[[#This Row],[食材成本(元/份)]:[调味成本(元/份)]])</f>
        <v>5.1846999999999994</v>
      </c>
      <c r="J25" s="43">
        <v>14</v>
      </c>
      <c r="K25" s="46">
        <f t="shared" si="0"/>
        <v>8.8153000000000006</v>
      </c>
      <c r="L25" s="46">
        <f>SKUTable[[#This Row],[毛利(元/份)]]/SKUTable[[#This Row],[总成本(元/份)]]*100</f>
        <v>170.02526664995085</v>
      </c>
      <c r="M25" s="46">
        <f t="shared" si="1"/>
        <v>62.96642857142858</v>
      </c>
    </row>
    <row r="26" spans="1:13" ht="18.75" customHeight="1">
      <c r="A26" s="40" t="s">
        <v>50</v>
      </c>
      <c r="B26" s="41">
        <v>9.09</v>
      </c>
      <c r="C26" s="41">
        <v>0.5</v>
      </c>
      <c r="D26" s="42">
        <v>260</v>
      </c>
      <c r="E26" s="42" t="s">
        <v>49</v>
      </c>
      <c r="F26" s="43">
        <f t="shared" si="5"/>
        <v>4.7267999999999999</v>
      </c>
      <c r="G26" s="43">
        <v>0.82</v>
      </c>
      <c r="H26" s="44">
        <v>1.5</v>
      </c>
      <c r="I26" s="45">
        <f>SUM(SKUTable[[#This Row],[食材成本(元/份)]:[调味成本(元/份)]])</f>
        <v>7.0468000000000002</v>
      </c>
      <c r="J26" s="43">
        <v>18</v>
      </c>
      <c r="K26" s="46">
        <f t="shared" si="0"/>
        <v>10.953199999999999</v>
      </c>
      <c r="L26" s="46">
        <f>SKUTable[[#This Row],[毛利(元/份)]]/SKUTable[[#This Row],[总成本(元/份)]]*100</f>
        <v>155.43509110518247</v>
      </c>
      <c r="M26" s="46">
        <f t="shared" si="1"/>
        <v>60.851111111111102</v>
      </c>
    </row>
    <row r="27" spans="1:13" ht="18.75" customHeight="1">
      <c r="A27" s="19" t="s">
        <v>51</v>
      </c>
      <c r="B27" s="20">
        <v>11.75</v>
      </c>
      <c r="C27" s="20" t="s">
        <v>20</v>
      </c>
      <c r="D27" s="21">
        <v>35</v>
      </c>
      <c r="E27" s="21"/>
      <c r="F27" s="28">
        <f t="shared" si="5"/>
        <v>0.82250000000000001</v>
      </c>
      <c r="G27" s="28" t="s">
        <v>20</v>
      </c>
      <c r="H27" s="29" t="s">
        <v>20</v>
      </c>
      <c r="I27" s="36">
        <f>SUM(SKUTable[[#This Row],[食材成本(元/份)]:[调味成本(元/份)]])</f>
        <v>0.82250000000000001</v>
      </c>
      <c r="J27" s="28" t="s">
        <v>20</v>
      </c>
      <c r="K27" s="35" t="s">
        <v>20</v>
      </c>
      <c r="L27" s="35"/>
      <c r="M27" s="35" t="s">
        <v>20</v>
      </c>
    </row>
    <row r="28" spans="1:13" ht="18.75" customHeight="1">
      <c r="A28" s="19" t="s">
        <v>52</v>
      </c>
      <c r="B28" s="20">
        <v>8</v>
      </c>
      <c r="C28" s="20">
        <v>0.5</v>
      </c>
      <c r="D28" s="21">
        <v>165</v>
      </c>
      <c r="E28" s="26" t="s">
        <v>53</v>
      </c>
      <c r="F28" s="28">
        <f t="shared" si="5"/>
        <v>2.64</v>
      </c>
      <c r="G28" s="28">
        <v>0.68500000000000005</v>
      </c>
      <c r="H28" s="29">
        <v>1.2</v>
      </c>
      <c r="I28" s="36">
        <f>SUM(SKUTable[[#This Row],[食材成本(元/份)]:[调味成本(元/份)]])</f>
        <v>4.5250000000000004</v>
      </c>
      <c r="J28" s="28">
        <v>15</v>
      </c>
      <c r="K28" s="35">
        <f t="shared" si="0"/>
        <v>10.475</v>
      </c>
      <c r="L28" s="35">
        <f>SKUTable[[#This Row],[毛利(元/份)]]/SKUTable[[#This Row],[总成本(元/份)]]*100</f>
        <v>231.49171270718227</v>
      </c>
      <c r="M28" s="35">
        <f t="shared" si="1"/>
        <v>69.833333333333343</v>
      </c>
    </row>
    <row r="29" spans="1:13" ht="18.75" customHeight="1">
      <c r="A29" s="40" t="s">
        <v>54</v>
      </c>
      <c r="B29" s="41">
        <v>8</v>
      </c>
      <c r="C29" s="41">
        <v>0.5</v>
      </c>
      <c r="D29" s="42">
        <v>260</v>
      </c>
      <c r="E29" s="42" t="s">
        <v>53</v>
      </c>
      <c r="F29" s="43">
        <f t="shared" si="5"/>
        <v>4.16</v>
      </c>
      <c r="G29" s="43">
        <v>0.82</v>
      </c>
      <c r="H29" s="44">
        <v>1.2</v>
      </c>
      <c r="I29" s="45">
        <f>SUM(SKUTable[[#This Row],[食材成本(元/份)]:[调味成本(元/份)]])</f>
        <v>6.1800000000000006</v>
      </c>
      <c r="J29" s="43">
        <v>18</v>
      </c>
      <c r="K29" s="46">
        <f t="shared" si="0"/>
        <v>11.82</v>
      </c>
      <c r="L29" s="46">
        <f>SKUTable[[#This Row],[毛利(元/份)]]/SKUTable[[#This Row],[总成本(元/份)]]*100</f>
        <v>191.26213592233009</v>
      </c>
      <c r="M29" s="46">
        <f t="shared" si="1"/>
        <v>65.666666666666671</v>
      </c>
    </row>
    <row r="30" spans="1:13" ht="18.75" customHeight="1">
      <c r="A30" s="19" t="s">
        <v>55</v>
      </c>
      <c r="B30" s="20">
        <v>2.875</v>
      </c>
      <c r="C30" s="20" t="s">
        <v>20</v>
      </c>
      <c r="D30" s="23">
        <v>140</v>
      </c>
      <c r="E30" s="26" t="s">
        <v>56</v>
      </c>
      <c r="F30" s="28">
        <f t="shared" si="5"/>
        <v>0.80500000000000005</v>
      </c>
      <c r="G30" s="28">
        <v>0.82</v>
      </c>
      <c r="H30" s="28">
        <v>4.0999999999999996</v>
      </c>
      <c r="I30" s="34">
        <f>SUM(SKUTable[[#This Row],[食材成本(元/份)]:[调味成本(元/份)]])</f>
        <v>5.7249999999999996</v>
      </c>
      <c r="J30" s="28">
        <v>15</v>
      </c>
      <c r="K30" s="35">
        <f t="shared" si="0"/>
        <v>9.2750000000000004</v>
      </c>
      <c r="L30" s="35">
        <f>SKUTable[[#This Row],[毛利(元/份)]]/SKUTable[[#This Row],[总成本(元/份)]]*100</f>
        <v>162.00873362445415</v>
      </c>
      <c r="M30" s="35">
        <f t="shared" si="1"/>
        <v>61.833333333333343</v>
      </c>
    </row>
    <row r="31" spans="1:13" ht="18.75" customHeight="1">
      <c r="A31" s="47" t="s">
        <v>111</v>
      </c>
      <c r="B31" s="20"/>
      <c r="C31" s="20">
        <v>0.5</v>
      </c>
      <c r="D31" s="21"/>
      <c r="E31" s="26" t="s">
        <v>57</v>
      </c>
      <c r="F31" s="28">
        <v>6.11</v>
      </c>
      <c r="G31" s="28">
        <v>0.68500000000000005</v>
      </c>
      <c r="H31" s="28">
        <v>0.2</v>
      </c>
      <c r="I31" s="34">
        <f>SUM(SKUTable[[#This Row],[食材成本(元/份)]:[调味成本(元/份)]])</f>
        <v>6.9950000000000001</v>
      </c>
      <c r="J31" s="28">
        <v>20</v>
      </c>
      <c r="K31" s="35">
        <f t="shared" si="0"/>
        <v>13.004999999999999</v>
      </c>
      <c r="L31" s="35">
        <f>SKUTable[[#This Row],[毛利(元/份)]]/SKUTable[[#This Row],[总成本(元/份)]]*100</f>
        <v>185.91851322373122</v>
      </c>
      <c r="M31" s="35">
        <f t="shared" si="1"/>
        <v>65.025000000000006</v>
      </c>
    </row>
    <row r="32" spans="1:13" ht="18.75" customHeight="1">
      <c r="A32" s="48" t="s">
        <v>112</v>
      </c>
      <c r="B32" s="49"/>
      <c r="C32" s="49">
        <v>0.5</v>
      </c>
      <c r="D32" s="50"/>
      <c r="E32" s="51" t="s">
        <v>58</v>
      </c>
      <c r="F32" s="52">
        <v>8.32</v>
      </c>
      <c r="G32" s="52">
        <v>0.68500000000000005</v>
      </c>
      <c r="H32" s="52">
        <v>0.2</v>
      </c>
      <c r="I32" s="53">
        <f>SUM(SKUTable[[#This Row],[食材成本(元/份)]:[调味成本(元/份)]])</f>
        <v>9.2050000000000001</v>
      </c>
      <c r="J32" s="52">
        <v>20</v>
      </c>
      <c r="K32" s="54">
        <f t="shared" si="0"/>
        <v>10.795</v>
      </c>
      <c r="L32" s="54">
        <f>SKUTable[[#This Row],[毛利(元/份)]]/SKUTable[[#This Row],[总成本(元/份)]]*100</f>
        <v>117.27322107550245</v>
      </c>
      <c r="M32" s="54">
        <f t="shared" si="1"/>
        <v>53.974999999999994</v>
      </c>
    </row>
    <row r="33" spans="1:13" ht="18.75" customHeight="1">
      <c r="A33" s="19" t="s">
        <v>59</v>
      </c>
      <c r="B33" s="20"/>
      <c r="C33" s="20">
        <v>0.5</v>
      </c>
      <c r="D33" s="21">
        <v>370</v>
      </c>
      <c r="E33" s="26" t="s">
        <v>60</v>
      </c>
      <c r="F33" s="28">
        <v>6.64</v>
      </c>
      <c r="G33" s="28">
        <v>0.82</v>
      </c>
      <c r="H33" s="28">
        <v>0.2</v>
      </c>
      <c r="I33" s="34">
        <f>SUM(SKUTable[[#This Row],[食材成本(元/份)]:[调味成本(元/份)]])</f>
        <v>7.66</v>
      </c>
      <c r="J33" s="28">
        <v>20</v>
      </c>
      <c r="K33" s="35">
        <f t="shared" si="0"/>
        <v>12.34</v>
      </c>
      <c r="L33" s="35">
        <f>SKUTable[[#This Row],[毛利(元/份)]]/SKUTable[[#This Row],[总成本(元/份)]]*100</f>
        <v>161.09660574412533</v>
      </c>
      <c r="M33" s="35">
        <f t="shared" si="1"/>
        <v>61.7</v>
      </c>
    </row>
    <row r="34" spans="1:13" ht="18.75" customHeight="1">
      <c r="A34" s="19" t="s">
        <v>61</v>
      </c>
      <c r="B34" s="24">
        <v>4.5</v>
      </c>
      <c r="C34" s="20">
        <v>0.5</v>
      </c>
      <c r="D34" s="21">
        <v>200</v>
      </c>
      <c r="E34" s="26" t="s">
        <v>62</v>
      </c>
      <c r="F34" s="28">
        <f t="shared" si="5"/>
        <v>1.8</v>
      </c>
      <c r="G34" s="28">
        <v>0.82</v>
      </c>
      <c r="H34" s="28">
        <v>4</v>
      </c>
      <c r="I34" s="34">
        <f>SUM(SKUTable[[#This Row],[食材成本(元/份)]:[调味成本(元/份)]])</f>
        <v>6.62</v>
      </c>
      <c r="J34" s="28">
        <v>15</v>
      </c>
      <c r="K34" s="35">
        <f t="shared" si="0"/>
        <v>8.379999999999999</v>
      </c>
      <c r="L34" s="35">
        <f>SKUTable[[#This Row],[毛利(元/份)]]/SKUTable[[#This Row],[总成本(元/份)]]*100</f>
        <v>126.58610271903321</v>
      </c>
      <c r="M34" s="35">
        <f t="shared" si="1"/>
        <v>55.866666666666667</v>
      </c>
    </row>
    <row r="35" spans="1:13" ht="18.75" customHeight="1">
      <c r="A35" s="19" t="s">
        <v>63</v>
      </c>
      <c r="B35" s="20"/>
      <c r="C35" s="20">
        <v>0.5</v>
      </c>
      <c r="D35" s="21">
        <v>185</v>
      </c>
      <c r="E35" s="26" t="s">
        <v>64</v>
      </c>
      <c r="F35" s="28">
        <v>2.5</v>
      </c>
      <c r="G35" s="28">
        <v>0.68500000000000005</v>
      </c>
      <c r="H35" s="28">
        <v>1.4</v>
      </c>
      <c r="I35" s="34">
        <f>SUM(SKUTable[[#This Row],[食材成本(元/份)]:[调味成本(元/份)]])</f>
        <v>4.585</v>
      </c>
      <c r="J35" s="28">
        <v>13</v>
      </c>
      <c r="K35" s="35">
        <f t="shared" si="0"/>
        <v>8.4149999999999991</v>
      </c>
      <c r="L35" s="35">
        <f>SKUTable[[#This Row],[毛利(元/份)]]/SKUTable[[#This Row],[总成本(元/份)]]*100</f>
        <v>183.53326063249727</v>
      </c>
      <c r="M35" s="35">
        <f t="shared" si="1"/>
        <v>64.730769230769226</v>
      </c>
    </row>
    <row r="39" spans="1:13">
      <c r="E39" s="15"/>
    </row>
  </sheetData>
  <phoneticPr fontId="11" type="noConversion"/>
  <conditionalFormatting sqref="M1:M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{AF0A25A9-CCE8-45BD-9B18-CD879BCDFCBD}</x14:id>
        </ext>
      </extLst>
    </cfRule>
  </conditionalFormatting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0A25A9-CCE8-45BD-9B18-CD879BCDFC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abSelected="1" workbookViewId="0">
      <selection activeCell="A26" sqref="A26"/>
    </sheetView>
  </sheetViews>
  <sheetFormatPr defaultColWidth="30.75" defaultRowHeight="20.100000000000001" customHeight="1"/>
  <cols>
    <col min="1" max="1" width="36.25" customWidth="1"/>
    <col min="2" max="2" width="30.75" customWidth="1"/>
  </cols>
  <sheetData>
    <row r="1" spans="1:4" ht="20.100000000000001" customHeight="1">
      <c r="A1" s="1" t="s">
        <v>65</v>
      </c>
      <c r="B1" s="2" t="s">
        <v>66</v>
      </c>
      <c r="C1" s="2" t="s">
        <v>67</v>
      </c>
      <c r="D1" s="2" t="s">
        <v>68</v>
      </c>
    </row>
    <row r="2" spans="1:4" ht="20.100000000000001" customHeight="1">
      <c r="A2" s="3" t="s">
        <v>69</v>
      </c>
      <c r="B2" s="4" t="s">
        <v>70</v>
      </c>
      <c r="C2" s="57" t="s">
        <v>114</v>
      </c>
      <c r="D2" s="4" t="s">
        <v>71</v>
      </c>
    </row>
    <row r="3" spans="1:4" ht="20.100000000000001" customHeight="1">
      <c r="A3" s="5" t="s">
        <v>69</v>
      </c>
      <c r="B3" s="6" t="s">
        <v>72</v>
      </c>
      <c r="C3" s="37" t="s">
        <v>115</v>
      </c>
      <c r="D3" s="6" t="s">
        <v>71</v>
      </c>
    </row>
    <row r="4" spans="1:4" ht="20.100000000000001" customHeight="1">
      <c r="A4" s="7" t="s">
        <v>74</v>
      </c>
      <c r="B4" s="8" t="s">
        <v>70</v>
      </c>
      <c r="C4" s="58" t="s">
        <v>116</v>
      </c>
      <c r="D4" s="8" t="s">
        <v>71</v>
      </c>
    </row>
    <row r="5" spans="1:4" ht="20.100000000000001" customHeight="1">
      <c r="A5" s="5" t="s">
        <v>74</v>
      </c>
      <c r="B5" s="6" t="s">
        <v>72</v>
      </c>
      <c r="C5" s="37" t="s">
        <v>117</v>
      </c>
      <c r="D5" s="6" t="s">
        <v>71</v>
      </c>
    </row>
    <row r="6" spans="1:4" ht="20.100000000000001" customHeight="1">
      <c r="A6" s="7" t="s">
        <v>75</v>
      </c>
      <c r="B6" s="8" t="s">
        <v>70</v>
      </c>
      <c r="C6" s="8" t="s">
        <v>73</v>
      </c>
      <c r="D6" s="8" t="s">
        <v>71</v>
      </c>
    </row>
    <row r="7" spans="1:4" ht="20.100000000000001" customHeight="1">
      <c r="A7" s="5" t="s">
        <v>75</v>
      </c>
      <c r="B7" s="6" t="s">
        <v>72</v>
      </c>
      <c r="C7" s="6" t="s">
        <v>76</v>
      </c>
      <c r="D7" s="6" t="s">
        <v>71</v>
      </c>
    </row>
    <row r="8" spans="1:4" ht="20.100000000000001" customHeight="1">
      <c r="A8" s="7" t="s">
        <v>77</v>
      </c>
      <c r="B8" s="8" t="s">
        <v>78</v>
      </c>
      <c r="C8" s="38" t="s">
        <v>114</v>
      </c>
      <c r="D8" s="8" t="s">
        <v>71</v>
      </c>
    </row>
    <row r="9" spans="1:4" ht="20.100000000000001" customHeight="1">
      <c r="A9" s="5" t="s">
        <v>77</v>
      </c>
      <c r="B9" s="6" t="s">
        <v>79</v>
      </c>
      <c r="C9" s="37" t="s">
        <v>115</v>
      </c>
      <c r="D9" s="37" t="s">
        <v>119</v>
      </c>
    </row>
    <row r="10" spans="1:4" ht="20.100000000000001" customHeight="1">
      <c r="A10" s="7" t="s">
        <v>86</v>
      </c>
      <c r="B10" s="8" t="s">
        <v>87</v>
      </c>
      <c r="C10" s="8" t="s">
        <v>88</v>
      </c>
      <c r="D10" s="38" t="s">
        <v>119</v>
      </c>
    </row>
    <row r="11" spans="1:4" ht="20.100000000000001" customHeight="1">
      <c r="A11" s="5" t="s">
        <v>82</v>
      </c>
      <c r="B11" s="6" t="s">
        <v>81</v>
      </c>
      <c r="C11" s="6" t="s">
        <v>73</v>
      </c>
      <c r="D11" s="6" t="s">
        <v>71</v>
      </c>
    </row>
    <row r="12" spans="1:4" ht="20.100000000000001" customHeight="1">
      <c r="A12" s="7"/>
      <c r="B12" s="8"/>
      <c r="C12" s="8"/>
      <c r="D12" s="8"/>
    </row>
    <row r="13" spans="1:4" ht="20.100000000000001" customHeight="1">
      <c r="A13" s="5" t="s">
        <v>83</v>
      </c>
      <c r="B13" s="37" t="s">
        <v>109</v>
      </c>
      <c r="C13" s="6" t="s">
        <v>76</v>
      </c>
      <c r="D13" s="6" t="s">
        <v>84</v>
      </c>
    </row>
    <row r="14" spans="1:4" ht="20.100000000000001" customHeight="1">
      <c r="A14" s="7" t="s">
        <v>85</v>
      </c>
      <c r="B14" s="38" t="s">
        <v>109</v>
      </c>
      <c r="C14" s="8" t="s">
        <v>76</v>
      </c>
      <c r="D14" s="8" t="s">
        <v>84</v>
      </c>
    </row>
    <row r="15" spans="1:4" ht="20.100000000000001" customHeight="1">
      <c r="A15" s="5"/>
      <c r="B15" s="6"/>
      <c r="C15" s="6"/>
      <c r="D15" s="6"/>
    </row>
    <row r="16" spans="1:4" ht="20.100000000000001" customHeight="1">
      <c r="A16" s="7" t="s">
        <v>90</v>
      </c>
      <c r="B16" s="8" t="s">
        <v>81</v>
      </c>
      <c r="C16" s="8" t="s">
        <v>91</v>
      </c>
      <c r="D16" s="8" t="s">
        <v>89</v>
      </c>
    </row>
    <row r="17" spans="1:4" ht="20.100000000000001" customHeight="1">
      <c r="A17" s="5" t="s">
        <v>92</v>
      </c>
      <c r="B17" s="6" t="s">
        <v>81</v>
      </c>
      <c r="C17" s="6" t="s">
        <v>91</v>
      </c>
      <c r="D17" s="6" t="s">
        <v>89</v>
      </c>
    </row>
    <row r="18" spans="1:4" ht="20.100000000000001" customHeight="1">
      <c r="A18" s="7" t="s">
        <v>45</v>
      </c>
      <c r="B18" s="8" t="s">
        <v>81</v>
      </c>
      <c r="C18" s="8" t="s">
        <v>91</v>
      </c>
      <c r="D18" s="8" t="s">
        <v>89</v>
      </c>
    </row>
    <row r="19" spans="1:4" ht="20.100000000000001" customHeight="1">
      <c r="A19" s="5" t="s">
        <v>93</v>
      </c>
      <c r="B19" s="6" t="s">
        <v>81</v>
      </c>
      <c r="C19" s="6" t="s">
        <v>73</v>
      </c>
      <c r="D19" s="6" t="s">
        <v>89</v>
      </c>
    </row>
    <row r="20" spans="1:4" ht="20.100000000000001" customHeight="1">
      <c r="A20" s="7" t="s">
        <v>94</v>
      </c>
      <c r="B20" s="8" t="s">
        <v>81</v>
      </c>
      <c r="C20" s="8" t="s">
        <v>73</v>
      </c>
      <c r="D20" s="8" t="s">
        <v>89</v>
      </c>
    </row>
    <row r="21" spans="1:4" ht="20.100000000000001" customHeight="1">
      <c r="A21" s="7" t="s">
        <v>80</v>
      </c>
      <c r="B21" s="8" t="s">
        <v>81</v>
      </c>
      <c r="C21" s="8" t="s">
        <v>73</v>
      </c>
      <c r="D21" s="38" t="s">
        <v>118</v>
      </c>
    </row>
    <row r="22" spans="1:4" ht="20.100000000000001" customHeight="1">
      <c r="A22" s="5"/>
      <c r="B22" s="6"/>
      <c r="C22" s="6"/>
      <c r="D22" s="6"/>
    </row>
    <row r="23" spans="1:4" ht="20.100000000000001" customHeight="1">
      <c r="A23" s="7" t="s">
        <v>95</v>
      </c>
      <c r="B23" s="8" t="s">
        <v>96</v>
      </c>
      <c r="C23" s="8" t="s">
        <v>97</v>
      </c>
      <c r="D23" s="8" t="s">
        <v>98</v>
      </c>
    </row>
    <row r="24" spans="1:4" ht="20.100000000000001" customHeight="1">
      <c r="A24" s="5" t="s">
        <v>99</v>
      </c>
      <c r="B24" s="6" t="s">
        <v>96</v>
      </c>
      <c r="C24" s="6" t="s">
        <v>97</v>
      </c>
      <c r="D24" s="6" t="s">
        <v>98</v>
      </c>
    </row>
    <row r="25" spans="1:4" ht="20.100000000000001" customHeight="1">
      <c r="A25" s="7" t="s">
        <v>100</v>
      </c>
      <c r="B25" s="8" t="s">
        <v>101</v>
      </c>
      <c r="C25" s="8" t="s">
        <v>88</v>
      </c>
      <c r="D25" s="8" t="s">
        <v>98</v>
      </c>
    </row>
    <row r="26" spans="1:4" ht="20.100000000000001" customHeight="1">
      <c r="A26" s="5" t="s">
        <v>102</v>
      </c>
      <c r="B26" s="6" t="s">
        <v>101</v>
      </c>
      <c r="C26" s="6" t="s">
        <v>88</v>
      </c>
      <c r="D26" s="6" t="s">
        <v>98</v>
      </c>
    </row>
    <row r="27" spans="1:4" ht="20.100000000000001" customHeight="1">
      <c r="A27" s="7" t="s">
        <v>103</v>
      </c>
      <c r="B27" s="8" t="s">
        <v>104</v>
      </c>
      <c r="C27" s="8" t="s">
        <v>88</v>
      </c>
      <c r="D27" s="8" t="s">
        <v>98</v>
      </c>
    </row>
    <row r="28" spans="1:4" ht="20.100000000000001" customHeight="1">
      <c r="A28" s="5" t="s">
        <v>22</v>
      </c>
      <c r="B28" s="6" t="s">
        <v>105</v>
      </c>
      <c r="C28" s="6" t="s">
        <v>97</v>
      </c>
      <c r="D28" s="6" t="s">
        <v>98</v>
      </c>
    </row>
    <row r="29" spans="1:4" ht="20.100000000000001" customHeight="1">
      <c r="A29" s="7" t="s">
        <v>19</v>
      </c>
      <c r="B29" s="8" t="s">
        <v>105</v>
      </c>
      <c r="C29" s="8" t="s">
        <v>106</v>
      </c>
      <c r="D29" s="8" t="s">
        <v>98</v>
      </c>
    </row>
    <row r="30" spans="1:4" ht="20.100000000000001" customHeight="1">
      <c r="A30" s="5" t="s">
        <v>17</v>
      </c>
      <c r="B30" s="6" t="s">
        <v>107</v>
      </c>
      <c r="C30" s="6" t="s">
        <v>108</v>
      </c>
      <c r="D30" s="6" t="s">
        <v>98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堂食利润</vt:lpstr>
      <vt:lpstr>菜单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Lebert John</cp:lastModifiedBy>
  <dcterms:created xsi:type="dcterms:W3CDTF">2026-02-14T20:30:00Z</dcterms:created>
  <dcterms:modified xsi:type="dcterms:W3CDTF">2026-04-11T09:21:54Z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