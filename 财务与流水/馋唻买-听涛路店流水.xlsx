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5800" activeTab="1"/>
  </bookViews>
  <sheets>
    <sheet name="开店成本清单" sheetId="1" r:id="rId1"/>
    <sheet name="流水-202602" sheetId="2" r:id="rId2"/>
    <sheet name="流水-202603" sheetId="3" r:id="rId3"/>
  </sheets>
  <calcPr calcId="144525"/>
</workbook>
</file>

<file path=xl/sharedStrings.xml><?xml version="1.0" encoding="utf-8"?>
<sst xmlns="http://schemas.openxmlformats.org/spreadsheetml/2006/main" count="83" uniqueCount="55">
  <si>
    <t>总预算(元)</t>
  </si>
  <si>
    <t>实际总花费(元)</t>
  </si>
  <si>
    <t>余额(元)</t>
  </si>
  <si>
    <t>金额(元)</t>
  </si>
  <si>
    <t>分类</t>
  </si>
  <si>
    <t>说明</t>
  </si>
  <si>
    <t>房租</t>
  </si>
  <si>
    <t>房租押金</t>
  </si>
  <si>
    <t>半年房租：年租金5.2万，半年付</t>
  </si>
  <si>
    <t>装修</t>
  </si>
  <si>
    <t>装修押金</t>
  </si>
  <si>
    <t>广告牌、灯牌费用</t>
  </si>
  <si>
    <t>物业水管改造</t>
  </si>
  <si>
    <t>隔壁改装水电</t>
  </si>
  <si>
    <t>其他</t>
  </si>
  <si>
    <t>外卖商品照片</t>
  </si>
  <si>
    <t>设备</t>
  </si>
  <si>
    <t>设备+零散材料</t>
  </si>
  <si>
    <t>装修水电进场</t>
  </si>
  <si>
    <t>桌椅首批</t>
  </si>
  <si>
    <t>门头设计</t>
  </si>
  <si>
    <t>小票打印机</t>
  </si>
  <si>
    <t>烤肠机</t>
  </si>
  <si>
    <t>油烟机</t>
  </si>
  <si>
    <t>小米手机</t>
  </si>
  <si>
    <t>食材</t>
  </si>
  <si>
    <t>快驴预充</t>
  </si>
  <si>
    <t>开店首批食材</t>
  </si>
  <si>
    <t>扫码点餐物料</t>
  </si>
  <si>
    <t>装修尾款</t>
  </si>
  <si>
    <t>外卖店铺装修</t>
  </si>
  <si>
    <t>活动</t>
  </si>
  <si>
    <t>外卖首日刷单</t>
  </si>
  <si>
    <t>推广</t>
  </si>
  <si>
    <t>淘宝300+美团300，首充</t>
  </si>
  <si>
    <t>包装盒补货</t>
  </si>
  <si>
    <t>快驴充值</t>
  </si>
  <si>
    <t>水电</t>
  </si>
  <si>
    <t>一月电费</t>
  </si>
  <si>
    <t>成本明细</t>
  </si>
  <si>
    <t>一月份水电</t>
  </si>
  <si>
    <t>人工</t>
  </si>
  <si>
    <t>首批食材</t>
  </si>
  <si>
    <t>房租每月</t>
  </si>
  <si>
    <t>外卖推广首充</t>
  </si>
  <si>
    <t>外卖刷单</t>
  </si>
  <si>
    <t>营业额</t>
  </si>
  <si>
    <t>堂食</t>
  </si>
  <si>
    <t>京东</t>
  </si>
  <si>
    <t>淘宝</t>
  </si>
  <si>
    <t>美团</t>
  </si>
  <si>
    <t>成本合计</t>
  </si>
  <si>
    <t>营业额合计</t>
  </si>
  <si>
    <t>毛利润</t>
  </si>
  <si>
    <t>净利润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</si>
</sst>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8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Calibri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</font>
    <font>
      <sz val="11"/>
      <color theme="1"/>
      <name val="宋体-简"/>
      <charset val="134"/>
    </font>
    <font>
      <sz val="11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10" fillId="1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5" fillId="22" borderId="8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4" fillId="11" borderId="8" applyNumberForma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5" fillId="10" borderId="3" applyNumberFormat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4" fontId="3" fillId="0" borderId="0" xfId="0" applyNumberFormat="1" applyFont="1" applyAlignment="1">
      <alignment horizontal="left"/>
    </xf>
    <xf numFmtId="4" fontId="2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4" fontId="5" fillId="0" borderId="0" xfId="0" applyNumberFormat="1" applyFont="1" applyAlignment="1">
      <alignment horizontal="left"/>
    </xf>
    <xf numFmtId="3" fontId="5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4" fontId="7" fillId="0" borderId="0" xfId="0" applyNumberFormat="1" applyFont="1" applyAlignment="1">
      <alignment horizontal="left"/>
    </xf>
    <xf numFmtId="3" fontId="6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3" fontId="3" fillId="0" borderId="0" xfId="0" applyNumberFormat="1" applyFont="1" applyAlignment="1">
      <alignment horizontal="left"/>
    </xf>
    <xf numFmtId="3" fontId="4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left"/>
    </xf>
    <xf numFmtId="3" fontId="0" fillId="0" borderId="0" xfId="0" applyNumberFormat="1"/>
    <xf numFmtId="4" fontId="3" fillId="0" borderId="0" xfId="0" applyNumberFormat="1" applyFont="1" applyAlignment="1">
      <alignment horizontal="right"/>
    </xf>
    <xf numFmtId="3" fontId="0" fillId="0" borderId="0" xfId="0" applyNumberFormat="1" applyAlignment="1">
      <alignment horizontal="left"/>
    </xf>
    <xf numFmtId="4" fontId="0" fillId="0" borderId="0" xfId="0" applyNumberFormat="1"/>
    <xf numFmtId="0" fontId="3" fillId="0" borderId="0" xfId="0" applyFont="1" applyAlignment="1">
      <alignment horizontal="left"/>
    </xf>
    <xf numFmtId="4" fontId="6" fillId="0" borderId="0" xfId="0" applyNumberFormat="1" applyFont="1" applyAlignment="1">
      <alignment horizontal="left"/>
    </xf>
    <xf numFmtId="4" fontId="1" fillId="0" borderId="0" xfId="0" applyNumberFormat="1" applyFont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"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4" formatCode="#,##0.00"/>
      <alignment horizontal="left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成本明细" displayName="成本明细" ref="A5:C30" totalsRowShown="0">
  <autoFilter ref="A5:C30"/>
  <tableColumns count="3">
    <tableColumn id="1" name="金额(元)"/>
    <tableColumn id="2" name="分类"/>
    <tableColumn id="3" name="说明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营业额明细表" displayName="营业额明细表" ref="A12:C16" totalsRowShown="0">
  <autoFilter ref="A12:C16"/>
  <tableColumns count="3">
    <tableColumn id="1" name="营业额"/>
    <tableColumn id="2" name="分类"/>
    <tableColumn id="3" name="说明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成本明细表" displayName="成本明细表" ref="A2:C9" totalsRowShown="0">
  <autoFilter ref="A2:C9"/>
  <tableColumns count="3">
    <tableColumn id="2" name="成本明细"/>
    <tableColumn id="3" name="说明"/>
    <tableColumn id="4" name="分类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C30"/>
  <sheetViews>
    <sheetView workbookViewId="0">
      <selection activeCell="A21" sqref="$A21:$XFD21"/>
    </sheetView>
  </sheetViews>
  <sheetFormatPr defaultColWidth="9" defaultRowHeight="16.8" outlineLevelCol="2"/>
  <cols>
    <col min="1" max="1" width="23.7211538461538" style="18" customWidth="1"/>
    <col min="2" max="2" width="60" customWidth="1"/>
    <col min="3" max="3" width="37.25" style="19" customWidth="1"/>
  </cols>
  <sheetData>
    <row r="1" ht="20.25" customHeight="1" spans="1:3">
      <c r="A1" s="12" t="s">
        <v>0</v>
      </c>
      <c r="C1" s="14">
        <v>100000</v>
      </c>
    </row>
    <row r="2" ht="20.25" customHeight="1" spans="1:3">
      <c r="A2" s="12" t="s">
        <v>1</v>
      </c>
      <c r="C2" s="17">
        <f>SUM(成本明细[金额(元)])</f>
        <v>91494</v>
      </c>
    </row>
    <row r="3" ht="20.25" customHeight="1" spans="1:3">
      <c r="A3" s="12" t="s">
        <v>2</v>
      </c>
      <c r="C3" s="17">
        <f>C1-C2</f>
        <v>8506</v>
      </c>
    </row>
    <row r="4" ht="18.75" customHeight="1"/>
    <row r="5" ht="20.25" customHeight="1" spans="1:3">
      <c r="A5" s="12" t="s">
        <v>3</v>
      </c>
      <c r="B5" s="20" t="s">
        <v>4</v>
      </c>
      <c r="C5" s="3" t="s">
        <v>5</v>
      </c>
    </row>
    <row r="6" ht="20.25" customHeight="1" spans="1:3">
      <c r="A6" s="12">
        <v>10000</v>
      </c>
      <c r="B6" s="20" t="s">
        <v>6</v>
      </c>
      <c r="C6" s="3" t="s">
        <v>7</v>
      </c>
    </row>
    <row r="7" ht="20.25" customHeight="1" spans="1:3">
      <c r="A7" s="12">
        <v>26000</v>
      </c>
      <c r="B7" s="20" t="s">
        <v>6</v>
      </c>
      <c r="C7" s="3" t="s">
        <v>8</v>
      </c>
    </row>
    <row r="8" ht="20.25" customHeight="1" spans="1:3">
      <c r="A8" s="12">
        <v>6000</v>
      </c>
      <c r="B8" s="20" t="s">
        <v>9</v>
      </c>
      <c r="C8" s="3" t="s">
        <v>10</v>
      </c>
    </row>
    <row r="9" ht="20.25" customHeight="1" spans="1:3">
      <c r="A9" s="12">
        <v>3000</v>
      </c>
      <c r="B9" s="20" t="s">
        <v>9</v>
      </c>
      <c r="C9" s="3" t="s">
        <v>11</v>
      </c>
    </row>
    <row r="10" ht="20.25" customHeight="1" spans="1:3">
      <c r="A10" s="12">
        <v>2100</v>
      </c>
      <c r="B10" s="20" t="s">
        <v>9</v>
      </c>
      <c r="C10" s="3" t="s">
        <v>12</v>
      </c>
    </row>
    <row r="11" ht="20.25" customHeight="1" spans="1:3">
      <c r="A11" s="12">
        <v>340</v>
      </c>
      <c r="B11" s="20" t="s">
        <v>9</v>
      </c>
      <c r="C11" s="3" t="s">
        <v>13</v>
      </c>
    </row>
    <row r="12" ht="20.25" customHeight="1" spans="1:3">
      <c r="A12" s="12">
        <v>200</v>
      </c>
      <c r="B12" s="20" t="s">
        <v>14</v>
      </c>
      <c r="C12" s="3" t="s">
        <v>15</v>
      </c>
    </row>
    <row r="13" ht="20.25" customHeight="1" spans="1:3">
      <c r="A13" s="12">
        <v>11000</v>
      </c>
      <c r="B13" s="20" t="s">
        <v>16</v>
      </c>
      <c r="C13" s="3" t="s">
        <v>17</v>
      </c>
    </row>
    <row r="14" ht="20.25" customHeight="1" spans="1:3">
      <c r="A14" s="12">
        <v>5000</v>
      </c>
      <c r="B14" s="20" t="s">
        <v>9</v>
      </c>
      <c r="C14" s="3" t="s">
        <v>18</v>
      </c>
    </row>
    <row r="15" ht="20.25" customHeight="1" spans="1:3">
      <c r="A15" s="12">
        <v>755</v>
      </c>
      <c r="B15" s="20" t="s">
        <v>16</v>
      </c>
      <c r="C15" s="3" t="s">
        <v>19</v>
      </c>
    </row>
    <row r="16" ht="20.25" customHeight="1" spans="1:3">
      <c r="A16" s="12">
        <v>190</v>
      </c>
      <c r="B16" s="20" t="s">
        <v>9</v>
      </c>
      <c r="C16" s="3" t="s">
        <v>20</v>
      </c>
    </row>
    <row r="17" ht="20.25" customHeight="1" spans="1:3">
      <c r="A17" s="3">
        <v>405.9</v>
      </c>
      <c r="B17" s="20" t="s">
        <v>16</v>
      </c>
      <c r="C17" s="3" t="s">
        <v>21</v>
      </c>
    </row>
    <row r="18" ht="20.25" customHeight="1" spans="1:3">
      <c r="A18" s="12">
        <v>228</v>
      </c>
      <c r="B18" s="20" t="s">
        <v>16</v>
      </c>
      <c r="C18" s="3" t="s">
        <v>22</v>
      </c>
    </row>
    <row r="19" ht="20.25" customHeight="1" spans="1:3">
      <c r="A19" s="3">
        <v>639.5</v>
      </c>
      <c r="B19" s="20" t="s">
        <v>16</v>
      </c>
      <c r="C19" s="3" t="s">
        <v>23</v>
      </c>
    </row>
    <row r="20" ht="20.25" customHeight="1" spans="1:3">
      <c r="A20" s="3">
        <v>1259.1</v>
      </c>
      <c r="B20" s="20" t="s">
        <v>16</v>
      </c>
      <c r="C20" s="3" t="s">
        <v>24</v>
      </c>
    </row>
    <row r="21" ht="18.75" customHeight="1" spans="1:3">
      <c r="A21" s="18">
        <v>1000</v>
      </c>
      <c r="B21" t="s">
        <v>25</v>
      </c>
      <c r="C21" s="19" t="s">
        <v>26</v>
      </c>
    </row>
    <row r="22" ht="20.25" customHeight="1" spans="1:3">
      <c r="A22" s="12">
        <v>13260</v>
      </c>
      <c r="B22" s="20" t="s">
        <v>25</v>
      </c>
      <c r="C22" s="3" t="s">
        <v>27</v>
      </c>
    </row>
    <row r="23" ht="20.25" customHeight="1" spans="1:3">
      <c r="A23" s="12">
        <v>276.1</v>
      </c>
      <c r="B23" s="8" t="s">
        <v>14</v>
      </c>
      <c r="C23" s="21" t="s">
        <v>28</v>
      </c>
    </row>
    <row r="24" spans="1:3">
      <c r="A24" s="18">
        <v>6000</v>
      </c>
      <c r="B24" t="s">
        <v>9</v>
      </c>
      <c r="C24" s="19" t="s">
        <v>29</v>
      </c>
    </row>
    <row r="25" spans="1:3">
      <c r="A25" s="18">
        <v>640</v>
      </c>
      <c r="B25" t="s">
        <v>9</v>
      </c>
      <c r="C25" s="19" t="s">
        <v>30</v>
      </c>
    </row>
    <row r="26" spans="1:3">
      <c r="A26" s="18">
        <v>500</v>
      </c>
      <c r="B26" t="s">
        <v>31</v>
      </c>
      <c r="C26" s="19" t="s">
        <v>32</v>
      </c>
    </row>
    <row r="27" spans="1:3">
      <c r="A27" s="18">
        <v>600</v>
      </c>
      <c r="B27" s="1" t="s">
        <v>33</v>
      </c>
      <c r="C27" s="22" t="s">
        <v>34</v>
      </c>
    </row>
    <row r="28" spans="1:3">
      <c r="A28" s="18">
        <v>938</v>
      </c>
      <c r="B28" s="1" t="s">
        <v>25</v>
      </c>
      <c r="C28" s="22" t="s">
        <v>35</v>
      </c>
    </row>
    <row r="29" spans="1:3">
      <c r="A29" s="18">
        <v>1000</v>
      </c>
      <c r="B29" s="1" t="s">
        <v>25</v>
      </c>
      <c r="C29" s="22" t="s">
        <v>36</v>
      </c>
    </row>
    <row r="30" spans="1:3">
      <c r="A30" s="3">
        <v>162.4</v>
      </c>
      <c r="B30" t="s">
        <v>37</v>
      </c>
      <c r="C30" s="19" t="s">
        <v>38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C22"/>
  <sheetViews>
    <sheetView tabSelected="1" workbookViewId="0">
      <selection activeCell="A15" sqref="A15"/>
    </sheetView>
  </sheetViews>
  <sheetFormatPr defaultColWidth="9" defaultRowHeight="16.8" outlineLevelCol="2"/>
  <cols>
    <col min="1" max="1" width="21.125" customWidth="1"/>
    <col min="2" max="2" width="19.75" customWidth="1"/>
    <col min="3" max="3" width="23.25" customWidth="1"/>
  </cols>
  <sheetData>
    <row r="1" spans="1:1">
      <c r="A1" s="1"/>
    </row>
    <row r="2" spans="1:3">
      <c r="A2" s="2" t="s">
        <v>39</v>
      </c>
      <c r="B2" s="3" t="s">
        <v>5</v>
      </c>
      <c r="C2" s="4" t="s">
        <v>4</v>
      </c>
    </row>
    <row r="3" spans="1:3">
      <c r="A3" s="5">
        <v>2000</v>
      </c>
      <c r="B3" s="6" t="s">
        <v>36</v>
      </c>
      <c r="C3" s="7" t="s">
        <v>25</v>
      </c>
    </row>
    <row r="4" spans="1:3">
      <c r="A4" s="8">
        <v>162.4</v>
      </c>
      <c r="B4" s="9" t="s">
        <v>40</v>
      </c>
      <c r="C4" s="7" t="s">
        <v>37</v>
      </c>
    </row>
    <row r="5" spans="1:3">
      <c r="A5" s="8"/>
      <c r="B5" s="3"/>
      <c r="C5" s="7" t="s">
        <v>41</v>
      </c>
    </row>
    <row r="6" spans="1:3">
      <c r="A6" s="8">
        <v>13260</v>
      </c>
      <c r="B6" s="6" t="s">
        <v>42</v>
      </c>
      <c r="C6" s="7" t="s">
        <v>25</v>
      </c>
    </row>
    <row r="7" spans="1:3">
      <c r="A7" s="8">
        <v>4334</v>
      </c>
      <c r="B7" s="6" t="s">
        <v>43</v>
      </c>
      <c r="C7" s="6" t="s">
        <v>6</v>
      </c>
    </row>
    <row r="8" spans="1:3">
      <c r="A8" s="5">
        <v>600</v>
      </c>
      <c r="B8" s="6" t="s">
        <v>44</v>
      </c>
      <c r="C8" s="6" t="s">
        <v>33</v>
      </c>
    </row>
    <row r="9" ht="16.5" customHeight="1" spans="1:3">
      <c r="A9" s="8">
        <v>500</v>
      </c>
      <c r="B9" s="6" t="s">
        <v>45</v>
      </c>
      <c r="C9" s="3" t="s">
        <v>33</v>
      </c>
    </row>
    <row r="12" spans="1:3">
      <c r="A12" s="10" t="s">
        <v>46</v>
      </c>
      <c r="B12" s="11" t="s">
        <v>4</v>
      </c>
      <c r="C12" s="3" t="s">
        <v>5</v>
      </c>
    </row>
    <row r="13" spans="1:3">
      <c r="A13" s="12"/>
      <c r="B13" s="8" t="s">
        <v>47</v>
      </c>
      <c r="C13" s="3"/>
    </row>
    <row r="14" spans="1:3">
      <c r="A14" s="12">
        <v>0</v>
      </c>
      <c r="B14" s="8" t="s">
        <v>48</v>
      </c>
      <c r="C14" s="3"/>
    </row>
    <row r="15" spans="1:3">
      <c r="A15" s="12"/>
      <c r="B15" s="8" t="s">
        <v>49</v>
      </c>
      <c r="C15" s="3"/>
    </row>
    <row r="16" spans="1:3">
      <c r="A16" s="12"/>
      <c r="B16" s="8" t="s">
        <v>50</v>
      </c>
      <c r="C16" s="3"/>
    </row>
    <row r="19" spans="1:3">
      <c r="A19" s="13" t="s">
        <v>51</v>
      </c>
      <c r="B19">
        <f>SUM(成本明细表[成本明细])</f>
        <v>20856.4</v>
      </c>
      <c r="C19" s="14"/>
    </row>
    <row r="20" spans="1:3">
      <c r="A20" s="15" t="s">
        <v>52</v>
      </c>
      <c r="B20" s="16">
        <f>SUM(营业额明细表[营业额])</f>
        <v>0</v>
      </c>
      <c r="C20" s="17"/>
    </row>
    <row r="21" spans="1:3">
      <c r="A21" s="15" t="s">
        <v>53</v>
      </c>
      <c r="C21" s="17"/>
    </row>
    <row r="22" spans="1:1">
      <c r="A22" s="1" t="s">
        <v>54</v>
      </c>
    </row>
  </sheetData>
  <pageMargins left="0.7" right="0.7" top="0.75" bottom="0.75" header="0.3" footer="0.3"/>
  <headerFooter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开店成本清单</vt:lpstr>
      <vt:lpstr>流水-202602</vt:lpstr>
      <vt:lpstr>流水-202603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yalla</cp:lastModifiedBy>
  <dcterms:created xsi:type="dcterms:W3CDTF">2026-01-30T03:28:00Z</dcterms:created>
  <dcterms:modified xsi:type="dcterms:W3CDTF">2026-02-09T17:10:01Z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2052-5.1.0.7912</vt:lpwstr>
  </property>
</Properties>
</file>