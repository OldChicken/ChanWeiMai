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成本管理"/>
  </sheets>
  <calcPr fullCalcOnLoad="1"/>
</workbook>
</file>

<file path=xl/sharedStrings.xml><?xml version="1.0" encoding="utf-8"?>
<sst xmlns="http://schemas.openxmlformats.org/spreadsheetml/2006/main" count="19" uniqueCount="19">
  <si>
    <t>SKU名称</t>
  </si>
  <si>
    <t>进货价格(元/500g)</t>
  </si>
  <si>
    <t>每份重量(g)</t>
  </si>
  <si>
    <t>食材成本(元/份)</t>
  </si>
  <si>
    <t>打包成本(元/份)</t>
  </si>
  <si>
    <t>调味品成本(元/份)</t>
  </si>
  <si>
    <t>售价(元/份)</t>
  </si>
  <si>
    <t>毛利(元/份)</t>
  </si>
  <si>
    <t>毛利率(%)</t>
  </si>
  <si>
    <t>拇指小笼包</t>
  </si>
  <si>
    <t>沙县蒸饺</t>
  </si>
  <si>
    <t>经典瘦肉丸(100g)</t>
  </si>
  <si>
    <t>经典瘦肉丸(120g)</t>
  </si>
  <si>
    <t>肉筋瘦肉丸(100g)</t>
  </si>
  <si>
    <t>肉筋瘦肉丸(120g)</t>
  </si>
  <si>
    <t>牛蹄筋瘦肉丸(100g)</t>
  </si>
  <si>
    <t>牛蹄筋瘦肉丸(120g)</t>
  </si>
  <si>
    <t>金汤酸菜弹粉+瘦肉丸(大份)</t>
  </si>
  <si>
    <t>金汤酸菜弹粉+瘦肉丸(特大份)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</si>
</sst>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宋体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3" applyFill="1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I20" displayName="SKUTable" name="SKUTable" id="1" totalsRowShown="0">
  <autoFilter ref="A1:I20"/>
  <tableColumns count="9">
    <tableColumn name="SKU名称" id="1"/>
    <tableColumn name="进货价格(元/500g)" id="2"/>
    <tableColumn name="每份重量(g)" id="3"/>
    <tableColumn name="食材成本(元/份)" id="4"/>
    <tableColumn name="打包成本(元/份)" id="5"/>
    <tableColumn name="调味品成本(元/份)" id="6"/>
    <tableColumn name="售价(元/份)" id="7"/>
    <tableColumn name="毛利(元/份)" id="8"/>
    <tableColumn name="毛利率(%)" id="9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29.719285714285714" customWidth="1" bestFit="1"/>
    <col min="2" max="2" style="10" width="14.005" customWidth="1" bestFit="1"/>
    <col min="3" max="3" style="11" width="13.005" customWidth="1" bestFit="1"/>
    <col min="4" max="4" style="10" width="13.005" customWidth="1" bestFit="1"/>
    <col min="5" max="5" style="10" width="15.576428571428572" customWidth="1" bestFit="1"/>
    <col min="6" max="6" style="10" width="16.433571428571426" customWidth="1" bestFit="1"/>
    <col min="7" max="7" style="11" width="17.14785714285714" customWidth="1" bestFit="1"/>
    <col min="8" max="8" style="10" width="16.719285714285714" customWidth="1" bestFit="1"/>
    <col min="9" max="9" style="10" width="12.005" customWidth="1" bestFit="1"/>
  </cols>
  <sheetData>
    <row x14ac:dyDescent="0.25" r="1" customHeight="1" ht="29.25" customFormat="1" s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x14ac:dyDescent="0.25" r="2" customHeight="1" ht="20.25">
      <c r="A2" s="5" t="s">
        <v>9</v>
      </c>
      <c r="B2" s="6">
        <v>11</v>
      </c>
      <c r="C2" s="6">
        <v>120</v>
      </c>
      <c r="D2" s="7">
        <f>B2*C2/500</f>
      </c>
      <c r="E2" s="8">
        <v>0.124</v>
      </c>
      <c r="F2" s="8">
        <v>0.5</v>
      </c>
      <c r="G2" s="6">
        <v>8</v>
      </c>
      <c r="H2" s="7">
        <f>G2-(D2+E2+F2)</f>
      </c>
      <c r="I2" s="7">
        <f>(G2-(D2+E2+F2))/G2*100</f>
      </c>
    </row>
    <row x14ac:dyDescent="0.25" r="3" customHeight="1" ht="20.25">
      <c r="A3" s="5" t="s">
        <v>10</v>
      </c>
      <c r="B3" s="8">
        <v>11.5</v>
      </c>
      <c r="C3" s="6">
        <v>220</v>
      </c>
      <c r="D3" s="7">
        <f>B3*C3/500</f>
      </c>
      <c r="E3" s="8">
        <v>0.196</v>
      </c>
      <c r="F3" s="8">
        <v>0.5</v>
      </c>
      <c r="G3" s="6">
        <v>8</v>
      </c>
      <c r="H3" s="7">
        <f>G3-(D3+E3+F3)</f>
      </c>
      <c r="I3" s="7">
        <f>(G3-(D3+E3+F3))/G3*100</f>
      </c>
    </row>
    <row x14ac:dyDescent="0.25" r="4" customHeight="1" ht="20.25">
      <c r="A4" s="5" t="s">
        <v>11</v>
      </c>
      <c r="B4" s="8">
        <v>9.5</v>
      </c>
      <c r="C4" s="6">
        <v>100</v>
      </c>
      <c r="D4" s="7">
        <f>B4*C4/500</f>
      </c>
      <c r="E4" s="8">
        <v>0.385</v>
      </c>
      <c r="F4" s="8">
        <v>0.2</v>
      </c>
      <c r="G4" s="6">
        <v>12</v>
      </c>
      <c r="H4" s="7">
        <f>G4-(D4+E4+F4)</f>
      </c>
      <c r="I4" s="7">
        <f>(G4-(D4+E4+F4))/G4*100</f>
      </c>
    </row>
    <row x14ac:dyDescent="0.25" r="5" customHeight="1" ht="20.25">
      <c r="A5" s="5" t="s">
        <v>12</v>
      </c>
      <c r="B5" s="8">
        <v>9.5</v>
      </c>
      <c r="C5" s="6">
        <v>120</v>
      </c>
      <c r="D5" s="7">
        <f>B5*C5/500</f>
      </c>
      <c r="E5" s="8">
        <v>0.52</v>
      </c>
      <c r="F5" s="8">
        <v>0.2</v>
      </c>
      <c r="G5" s="6">
        <v>16</v>
      </c>
      <c r="H5" s="7">
        <f>G5-(D5+E5+F5)</f>
      </c>
      <c r="I5" s="7">
        <f>(G5-(D5+E5+F5))/G5*100</f>
      </c>
    </row>
    <row x14ac:dyDescent="0.25" r="6" customHeight="1" ht="18.75">
      <c r="A6" s="5" t="s">
        <v>13</v>
      </c>
      <c r="B6" s="8"/>
      <c r="C6" s="6"/>
      <c r="D6" s="7">
        <f>IF(B6&lt;&gt;"",B6*C6/500,"")</f>
      </c>
      <c r="E6" s="8"/>
      <c r="F6" s="8"/>
      <c r="G6" s="6"/>
      <c r="H6" s="7">
        <f>if(B6&lt;&gt;"", G6-(D6+E6+F6), "")</f>
      </c>
      <c r="I6" s="7">
        <f>if(B6&lt;&gt;"", ((G6-(D6+E6+F6))/G6*100), "")</f>
      </c>
    </row>
    <row x14ac:dyDescent="0.25" r="7" customHeight="1" ht="18.75">
      <c r="A7" s="5" t="s">
        <v>14</v>
      </c>
      <c r="B7" s="8"/>
      <c r="C7" s="6"/>
      <c r="D7" s="7">
        <f>IF(B7&lt;&gt;"",B7*C7/500,"")</f>
      </c>
      <c r="E7" s="8"/>
      <c r="F7" s="8"/>
      <c r="G7" s="6"/>
      <c r="H7" s="7">
        <f>if(B7&lt;&gt;"", G7-(D7+E7+F7), "")</f>
      </c>
      <c r="I7" s="7">
        <f>if(B7&lt;&gt;"", ((G7-(D7+E7+F7))/G7*100), "")</f>
      </c>
    </row>
    <row x14ac:dyDescent="0.25" r="8" customHeight="1" ht="18.75">
      <c r="A8" s="5" t="s">
        <v>15</v>
      </c>
      <c r="B8" s="8"/>
      <c r="C8" s="6"/>
      <c r="D8" s="7">
        <f>IF(B8&lt;&gt;"",B8*C8/500,"")</f>
      </c>
      <c r="E8" s="8"/>
      <c r="F8" s="8"/>
      <c r="G8" s="6"/>
      <c r="H8" s="7">
        <f>if(B8&lt;&gt;"", G8-(D8+E8+F8), "")</f>
      </c>
      <c r="I8" s="7">
        <f>if(B8&lt;&gt;"", ((G8-(D8+E8+F8))/G8*100), "")</f>
      </c>
    </row>
    <row x14ac:dyDescent="0.25" r="9" customHeight="1" ht="18.75">
      <c r="A9" s="5" t="s">
        <v>16</v>
      </c>
      <c r="B9" s="8"/>
      <c r="C9" s="6"/>
      <c r="D9" s="7">
        <f>IF(B9&lt;&gt;"",B9*C9/500,"")</f>
      </c>
      <c r="E9" s="8"/>
      <c r="F9" s="8"/>
      <c r="G9" s="6"/>
      <c r="H9" s="7">
        <f>if(B9&lt;&gt;"", G9-(D9+E9+F9), "")</f>
      </c>
      <c r="I9" s="7">
        <f>if(B9&lt;&gt;"", ((G9-(D9+E9+F9))/G9*100), "")</f>
      </c>
    </row>
    <row x14ac:dyDescent="0.25" r="10" customHeight="1" ht="18.75">
      <c r="A10" s="5" t="s">
        <v>17</v>
      </c>
      <c r="B10" s="8"/>
      <c r="C10" s="6"/>
      <c r="D10" s="7">
        <f>IF(B10&lt;&gt;"",B10*C10/500,"")</f>
      </c>
      <c r="E10" s="8"/>
      <c r="F10" s="8"/>
      <c r="G10" s="6"/>
      <c r="H10" s="7">
        <f>if(B10&lt;&gt;"", G10-(D10+E10+F10), "")</f>
      </c>
      <c r="I10" s="7">
        <f>if(B10&lt;&gt;"", ((G10-(D10+E10+F10))/G10*100), "")</f>
      </c>
    </row>
    <row x14ac:dyDescent="0.25" r="11" customHeight="1" ht="18.75">
      <c r="A11" s="5" t="s">
        <v>18</v>
      </c>
      <c r="B11" s="8"/>
      <c r="C11" s="6"/>
      <c r="D11" s="7">
        <f>IF(B11&lt;&gt;"",B11*C11/500,"")</f>
      </c>
      <c r="E11" s="8"/>
      <c r="F11" s="8"/>
      <c r="G11" s="6"/>
      <c r="H11" s="7">
        <f>if(B11&lt;&gt;"", G11-(D11+E11+F11), "")</f>
      </c>
      <c r="I11" s="7">
        <f>if(B11&lt;&gt;"", ((G11-(D11+E11+F11))/G11*100), "")</f>
      </c>
    </row>
    <row x14ac:dyDescent="0.25" r="12" customHeight="1" ht="18.75">
      <c r="A12" s="5"/>
      <c r="B12" s="8"/>
      <c r="C12" s="6"/>
      <c r="D12" s="7">
        <f>IF(B12&lt;&gt;"",B12*C12/500,"")</f>
      </c>
      <c r="E12" s="8"/>
      <c r="F12" s="8"/>
      <c r="G12" s="6"/>
      <c r="H12" s="7">
        <f>if(B12&lt;&gt;"", G12-(D12+E12+F12), "")</f>
      </c>
      <c r="I12" s="7">
        <f>if(B12&lt;&gt;"", ((G12-(D12+E12+F12))/G12*100), "")</f>
      </c>
    </row>
    <row x14ac:dyDescent="0.25" r="13" customHeight="1" ht="18.75">
      <c r="A13" s="5"/>
      <c r="B13" s="8"/>
      <c r="C13" s="6"/>
      <c r="D13" s="7">
        <f>IF(B13&lt;&gt;"",B13*C13/500,"")</f>
      </c>
      <c r="E13" s="8"/>
      <c r="F13" s="8"/>
      <c r="G13" s="6"/>
      <c r="H13" s="7">
        <f>if(B13&lt;&gt;"", G13-(D13+E13+F13), "")</f>
      </c>
      <c r="I13" s="7">
        <f>if(B13&lt;&gt;"", ((G13-(D13+E13+F13))/G13*100), "")</f>
      </c>
    </row>
    <row x14ac:dyDescent="0.25" r="14" customHeight="1" ht="18.75">
      <c r="A14" s="5"/>
      <c r="B14" s="8"/>
      <c r="C14" s="6"/>
      <c r="D14" s="7">
        <f>IF(B14&lt;&gt;"",B14*C14/500,"")</f>
      </c>
      <c r="E14" s="8"/>
      <c r="F14" s="8"/>
      <c r="G14" s="6"/>
      <c r="H14" s="7">
        <f>if(B14&lt;&gt;"", G14-(D14+E14+F14), "")</f>
      </c>
      <c r="I14" s="7">
        <f>if(B14&lt;&gt;"", ((G14-(D14+E14+F14))/G14*100), "")</f>
      </c>
    </row>
    <row x14ac:dyDescent="0.25" r="15" customHeight="1" ht="18.75">
      <c r="A15" s="5"/>
      <c r="B15" s="8"/>
      <c r="C15" s="6"/>
      <c r="D15" s="7">
        <f>IF(B15&lt;&gt;"",B15*C15/500,"")</f>
      </c>
      <c r="E15" s="8"/>
      <c r="F15" s="8"/>
      <c r="G15" s="6"/>
      <c r="H15" s="7">
        <f>if(B15&lt;&gt;"", G15-(D15+E15+F15), "")</f>
      </c>
      <c r="I15" s="7">
        <f>if(B15&lt;&gt;"", ((G15-(D15+E15+F15))/G15*100), "")</f>
      </c>
    </row>
    <row x14ac:dyDescent="0.25" r="16" customHeight="1" ht="18.75">
      <c r="A16" s="5"/>
      <c r="B16" s="8"/>
      <c r="C16" s="6"/>
      <c r="D16" s="7">
        <f>IF(B16&lt;&gt;"",B16*C16/500,"")</f>
      </c>
      <c r="E16" s="8"/>
      <c r="F16" s="8"/>
      <c r="G16" s="6"/>
      <c r="H16" s="7">
        <f>if(B16&lt;&gt;"", G16-(D16+E16+F16), "")</f>
      </c>
      <c r="I16" s="7">
        <f>if(B16&lt;&gt;"", ((G16-(D16+E16+F16))/G16*100), "")</f>
      </c>
    </row>
    <row x14ac:dyDescent="0.25" r="17" customHeight="1" ht="18.75">
      <c r="A17" s="5"/>
      <c r="B17" s="8"/>
      <c r="C17" s="6"/>
      <c r="D17" s="7">
        <f>IF(B17&lt;&gt;"",B17*C17/500,"")</f>
      </c>
      <c r="E17" s="8"/>
      <c r="F17" s="8"/>
      <c r="G17" s="6"/>
      <c r="H17" s="7">
        <f>if(B17&lt;&gt;"", G17-(D17+E17+F17), "")</f>
      </c>
      <c r="I17" s="7">
        <f>if(B17&lt;&gt;"", ((G17-(D17+E17+F17))/G17*100), "")</f>
      </c>
    </row>
    <row x14ac:dyDescent="0.25" r="18" customHeight="1" ht="18.75">
      <c r="A18" s="5"/>
      <c r="B18" s="8"/>
      <c r="C18" s="6"/>
      <c r="D18" s="7">
        <f>IF(B18&lt;&gt;"",B18*C18/500,"")</f>
      </c>
      <c r="E18" s="8"/>
      <c r="F18" s="8"/>
      <c r="G18" s="6"/>
      <c r="H18" s="7">
        <f>if(B18&lt;&gt;"", G18-(D18+E18+F18), "")</f>
      </c>
      <c r="I18" s="7">
        <f>if(B18&lt;&gt;"", ((G18-(D18+E18+F18))/G18*100), "")</f>
      </c>
    </row>
    <row x14ac:dyDescent="0.25" r="19" customHeight="1" ht="18.75">
      <c r="A19" s="5"/>
      <c r="B19" s="8"/>
      <c r="C19" s="6"/>
      <c r="D19" s="7">
        <f>IF(B19&lt;&gt;"",B19*C19/500,"")</f>
      </c>
      <c r="E19" s="8"/>
      <c r="F19" s="8"/>
      <c r="G19" s="6"/>
      <c r="H19" s="7">
        <f>if(B19&lt;&gt;"", G19-(D19+E19+F19), "")</f>
      </c>
      <c r="I19" s="7">
        <f>if(B19&lt;&gt;"", ((G19-(D19+E19+F19))/G19*100), "")</f>
      </c>
    </row>
    <row x14ac:dyDescent="0.25" r="20" customHeight="1" ht="19.5">
      <c r="A20" s="5"/>
      <c r="B20" s="8"/>
      <c r="C20" s="6"/>
      <c r="D20" s="7">
        <f>IF(B20&lt;&gt;"",B20*C20/500,"")</f>
      </c>
      <c r="E20" s="8"/>
      <c r="F20" s="8"/>
      <c r="G20" s="6"/>
      <c r="H20" s="7">
        <f>if(B20&lt;&gt;"", G20-(D20+E20+F20), "")</f>
      </c>
      <c r="I20" s="7">
        <f>if(B20&lt;&gt;"", ((G20-(D20+E20+F20))/G20*100), "")</f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成本管理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2026-02-11T12:30:22.897Z</dcterms:created>
  <dcterms:modified xsi:type="dcterms:W3CDTF">2026-02-11T12:30:22.897Z</dcterms:modified>
</cp:coreProperties>
</file>