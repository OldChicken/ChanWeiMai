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300" activeTab="3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</sheets>
  <calcPr calcId="144525"/>
</workbook>
</file>

<file path=xl/sharedStrings.xml><?xml version="1.0" encoding="utf-8"?>
<sst xmlns="http://schemas.openxmlformats.org/spreadsheetml/2006/main" count="522" uniqueCount="166">
  <si>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</si>
  <si>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</si>
  <si>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</si>
  <si>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</si>
  <si>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</si>
  <si>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</si>
  <si>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</si>
  <si>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</si>
  <si>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</si>
  <si>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</si>
  <si>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</si>
  <si>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</si>
  <si>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</si>
  <si>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</si>
  <si>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</si>
  <si>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</si>
  <si>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</si>
  <si>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</si>
  <si>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</si>
  <si>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</si>
  <si>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</si>
  <si>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</si>
  <si>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</si>
  <si>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</si>
  <si>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</si>
  <si>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</si>
  <si>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</si>
  <si>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</si>
  <si>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</si>
  <si>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</si>
  <si>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</si>
  <si>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</si>
  <si>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</si>
  <si>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</si>
  <si>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</si>
  <si>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</si>
  <si>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</si>
  <si>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</si>
  <si>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</si>
  <si>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</si>
  <si>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</si>
  <si>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</si>
  <si>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</si>
  <si>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</si>
  <si>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</si>
  <si>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</si>
  <si>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</si>
  <si>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</si>
  <si>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</si>
  <si>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</si>
  <si>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</si>
  <si>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</si>
  <si>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</si>
  <si>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</si>
  <si>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</si>
  <si>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</si>
  <si>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</si>
  <si>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</si>
  <si>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</si>
  <si>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</si>
  <si>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</si>
  <si>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</si>
  <si>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</si>
  <si>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</si>
  <si>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</si>
  <si>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</si>
  <si>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</si>
  <si>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</si>
  <si>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</si>
  <si>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</si>
  <si>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</si>
  <si>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</si>
  <si>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</si>
  <si>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</si>
  <si>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</si>
  <si>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</si>
  <si>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</si>
  <si>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</si>
  <si>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</si>
  <si>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</si>
  <si>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</si>
  <si>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</si>
  <si>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</si>
  <si>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</si>
  <si>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</si>
  <si>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</si>
  <si>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</si>
  <si>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</si>
  <si>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</si>
  <si>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</si>
  <si>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</si>
  <si>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</si>
  <si>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</si>
  <si>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</si>
  <si>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</si>
  <si>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</si>
  <si>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</si>
  <si>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</si>
  <si>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</si>
  <si>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</si>
  <si>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</si>
  <si>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</si>
  <si>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</si>
  <si>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</si>
  <si>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</si>
  <si>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</si>
  <si>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</si>
  <si>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</si>
  <si>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</si>
  <si>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</si>
  <si>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</si>
  <si>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</si>
  <si>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</si>
  <si>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</si>
  <si>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</si>
  <si>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</si>
  <si>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</si>
  <si>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</si>
  <si>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</si>
  <si>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</si>
  <si>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</si>
  <si>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</si>
  <si>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</si>
  <si>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</si>
  <si>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</si>
  <si>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</si>
  <si>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</si>
  <si>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</si>
  <si>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</si>
  <si>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</si>
  <si>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</si>
  <si>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</si>
  <si>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</si>
  <si>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</si>
  <si>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</si>
  <si>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</si>
  <si>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</si>
  <si>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</si>
  <si>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暂未支付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</si>
  <si>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</si>
  <si>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</si>
  <si>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</si>
  <si>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</si>
  <si>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</si>
  <si>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</si>
  <si>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</si>
  <si>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</si>
  <si>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</si>
  <si>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</si>
  <si>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</si>
  <si>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</si>
  <si>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</si>
  <si>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</si>
  <si>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</si>
  <si>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</si>
  <si>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</si>
  <si>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</si>
  <si>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</si>
  <si>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</si>
  <si>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</si>
  <si>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</si>
  <si>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微信堂食-商业码</t>
  </si>
  <si>
    <t>微信堂食-经营码</t>
  </si>
  <si>
    <t>快驴首充</t>
  </si>
  <si>
    <t>白琳肉筋</t>
  </si>
  <si>
    <t>调味粉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</si>
</sst>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9" fillId="4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24" fillId="38" borderId="13" applyNumberFormat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0" fontId="23" fillId="21" borderId="13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7" fillId="22" borderId="11" applyNumberFormat="0" applyAlignment="0" applyProtection="0">
      <alignment vertical="center"/>
    </xf>
    <xf numFmtId="0" fontId="16" fillId="21" borderId="10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0" fillId="17" borderId="8" applyNumberFormat="0" applyFon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1:C50">
  <autoFilter ref="A41:C50">
    <filterColumn colId="1">
      <customFilters>
        <customFilter operator="equal" val="食材"/>
      </customFilters>
    </filterColumn>
  </autoFilter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D37" sqref="D3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50053.93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393.550000000003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0.00780118253676899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0.555997301310806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0.239741414909878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0.0865666292337085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3500</v>
      </c>
      <c r="C28" s="12">
        <f>$B$28/$B$4</f>
        <v>0.0699245793487145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0.0477700751968926</v>
      </c>
    </row>
    <row r="30" customHeight="1" spans="1:3">
      <c r="A30" s="23" t="s">
        <v>65</v>
      </c>
      <c r="B30" s="24">
        <f>SUM(B24:B29)</f>
        <v>50053.93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138</v>
      </c>
    </row>
    <row r="46" customHeight="1" spans="1:3">
      <c r="A46" s="26">
        <v>3500</v>
      </c>
      <c r="B46" s="28" t="s">
        <v>37</v>
      </c>
      <c r="C46" s="28" t="s">
        <v>138</v>
      </c>
    </row>
    <row r="47" customHeight="1" spans="1:3">
      <c r="A47" s="26">
        <v>4000</v>
      </c>
      <c r="B47" s="28" t="s">
        <v>25</v>
      </c>
      <c r="C47" s="28" t="s">
        <v>139</v>
      </c>
    </row>
    <row r="48" customHeight="1" spans="1:3">
      <c r="A48" s="26">
        <v>397.58</v>
      </c>
      <c r="B48" s="27" t="s">
        <v>25</v>
      </c>
      <c r="C48" s="28" t="s">
        <v>140</v>
      </c>
    </row>
    <row r="49" customHeight="1" spans="1:3">
      <c r="A49" s="26">
        <v>2521.87</v>
      </c>
      <c r="B49" s="27" t="s">
        <v>25</v>
      </c>
      <c r="C49" s="28" t="s">
        <v>141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142</v>
      </c>
    </row>
    <row r="52" customHeight="1" spans="1:3">
      <c r="A52" s="26">
        <v>83.64</v>
      </c>
      <c r="B52" s="2" t="s">
        <v>25</v>
      </c>
      <c r="C52" s="2" t="s">
        <v>143</v>
      </c>
    </row>
    <row r="53" customHeight="1" spans="1:3">
      <c r="A53" s="26">
        <v>280</v>
      </c>
      <c r="B53" s="2" t="s">
        <v>25</v>
      </c>
      <c r="C53" s="2" t="s">
        <v>144</v>
      </c>
    </row>
    <row r="54" customHeight="1" spans="1:3">
      <c r="A54" s="26">
        <v>50</v>
      </c>
      <c r="B54" s="2" t="s">
        <v>14</v>
      </c>
      <c r="C54" s="2" t="s">
        <v>145</v>
      </c>
    </row>
    <row r="55" customHeight="1" spans="1:3">
      <c r="A55" s="26">
        <v>618</v>
      </c>
      <c r="B55" s="2" t="s">
        <v>25</v>
      </c>
      <c r="C55" s="2" t="s">
        <v>146</v>
      </c>
    </row>
    <row r="56" customHeight="1" spans="1:3">
      <c r="A56" s="26">
        <v>8092</v>
      </c>
      <c r="B56" s="2" t="s">
        <v>25</v>
      </c>
      <c r="C56" s="2" t="s">
        <v>147</v>
      </c>
    </row>
    <row r="57" customHeight="1" spans="1:3">
      <c r="A57" s="26">
        <v>1379</v>
      </c>
      <c r="B57" s="2" t="s">
        <v>25</v>
      </c>
      <c r="C57" s="2" t="s">
        <v>148</v>
      </c>
    </row>
    <row r="58" customHeight="1" spans="1:3">
      <c r="A58" s="26">
        <v>150</v>
      </c>
      <c r="B58" s="2" t="s">
        <v>14</v>
      </c>
      <c r="C58" s="2" t="s">
        <v>149</v>
      </c>
    </row>
    <row r="59" customHeight="1" spans="1:3">
      <c r="A59" s="26">
        <v>700</v>
      </c>
      <c r="B59" s="2" t="s">
        <v>14</v>
      </c>
      <c r="C59" s="2" t="s">
        <v>150</v>
      </c>
    </row>
    <row r="60" customHeight="1" spans="1:3">
      <c r="A60" s="26">
        <v>350</v>
      </c>
      <c r="B60" s="2" t="s">
        <v>25</v>
      </c>
      <c r="C60" s="2" t="s">
        <v>151</v>
      </c>
    </row>
    <row r="61" customHeight="1" spans="1:3">
      <c r="A61" s="26">
        <v>381</v>
      </c>
      <c r="B61" s="2" t="s">
        <v>25</v>
      </c>
      <c r="C61" s="2" t="s">
        <v>152</v>
      </c>
    </row>
    <row r="62" customHeight="1" spans="1:3">
      <c r="A62" s="26">
        <v>16.08</v>
      </c>
      <c r="B62" s="2" t="s">
        <v>14</v>
      </c>
      <c r="C62" s="2" t="s">
        <v>153</v>
      </c>
    </row>
    <row r="63" customHeight="1" spans="1:3">
      <c r="A63" s="26">
        <v>396</v>
      </c>
      <c r="B63" s="2" t="s">
        <v>25</v>
      </c>
      <c r="C63" s="2" t="s">
        <v>154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155</v>
      </c>
    </row>
    <row r="66" customHeight="1" spans="1:3">
      <c r="A66" s="26">
        <v>80</v>
      </c>
      <c r="B66" s="2" t="s">
        <v>25</v>
      </c>
      <c r="C66" s="2" t="s">
        <v>156</v>
      </c>
    </row>
    <row r="67" customHeight="1" spans="1:3">
      <c r="A67" s="26">
        <v>912</v>
      </c>
      <c r="B67" s="2" t="s">
        <v>25</v>
      </c>
      <c r="C67" s="2" t="s">
        <v>157</v>
      </c>
    </row>
    <row r="68" customHeight="1" spans="1:3">
      <c r="A68" s="26">
        <v>6783</v>
      </c>
      <c r="B68" s="2" t="s">
        <v>25</v>
      </c>
      <c r="C68" s="2" t="s">
        <v>158</v>
      </c>
    </row>
    <row r="69" customHeight="1" spans="1:3">
      <c r="A69" s="26">
        <v>265.6</v>
      </c>
      <c r="B69" s="2" t="s">
        <v>25</v>
      </c>
      <c r="C69" s="2" t="s">
        <v>159</v>
      </c>
    </row>
    <row r="70" customHeight="1" spans="1:3">
      <c r="A70" s="26">
        <v>1275</v>
      </c>
      <c r="B70" s="2" t="s">
        <v>14</v>
      </c>
      <c r="C70" s="2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0"/>
  <sheetViews>
    <sheetView topLeftCell="A31" workbookViewId="0">
      <selection activeCell="C50" sqref="C50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0</v>
      </c>
      <c r="C3" s="6" t="s">
        <v>49</v>
      </c>
    </row>
    <row r="4" customHeight="1" spans="1:3">
      <c r="A4" s="8" t="s">
        <v>50</v>
      </c>
      <c r="B4" s="9">
        <f>SUM(支出明细26049[支出明细])</f>
        <v>25002.92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-4194.92</v>
      </c>
      <c r="C5" s="10" t="s">
        <v>49</v>
      </c>
    </row>
    <row r="6" customHeight="1" spans="1:3">
      <c r="A6" s="10" t="s">
        <v>52</v>
      </c>
      <c r="B6" s="11">
        <f>$B$3-$B$4</f>
        <v>-25002.92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SUMIF(收入明细260410[分类],"美团外卖",收入明细260410[收入明细])</f>
        <v>0</v>
      </c>
      <c r="C14" s="12" t="e">
        <f>$B$14/$B$3</f>
        <v>#DIV/0!</v>
      </c>
    </row>
    <row r="15" customHeight="1" spans="1:3">
      <c r="A15" s="10" t="s">
        <v>62</v>
      </c>
      <c r="B15" s="11">
        <f>SUMIF(收入明细260410[分类],"微信堂食",收入明细260410[收入明细])</f>
        <v>0</v>
      </c>
      <c r="C15" s="12" t="e">
        <f>$B$15/$B$3</f>
        <v>#DIV/0!</v>
      </c>
    </row>
    <row r="16" customHeight="1" spans="1:3">
      <c r="A16" s="10" t="s">
        <v>63</v>
      </c>
      <c r="B16" s="11">
        <f>SUMIF(收入明细260410[分类],"支付宝堂食",收入明细260410[收入明细])</f>
        <v>0</v>
      </c>
      <c r="C16" s="12" t="e">
        <f>$B$16/$B$3</f>
        <v>#DIV/0!</v>
      </c>
    </row>
    <row r="17" customHeight="1" spans="1:3">
      <c r="A17" s="10" t="s">
        <v>64</v>
      </c>
      <c r="B17" s="11">
        <f>SUMIF(收入明细260410[分类],"京东外卖",收入明细260410[收入明细])</f>
        <v>0</v>
      </c>
      <c r="C17" s="12" t="e">
        <f>$B$17/$B$3</f>
        <v>#DIV/0!</v>
      </c>
    </row>
    <row r="18" customHeight="1" spans="1:3">
      <c r="A18" s="16" t="s">
        <v>65</v>
      </c>
      <c r="B18" s="17">
        <f>SUM(B13:B17)</f>
        <v>0</v>
      </c>
      <c r="C18" s="18" t="e">
        <f>SUM($C$13:$C$17)</f>
        <v>#DIV/0!</v>
      </c>
    </row>
    <row r="19" customFormat="1" customHeight="1"/>
    <row r="20" customFormat="1" customHeight="1"/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SUMIF(支出明细26049[分类],"食材",支出明细26049[支出明细])</f>
        <v>4194.92</v>
      </c>
      <c r="C23" s="12">
        <f>$B$23/$B$4</f>
        <v>0.167777203622617</v>
      </c>
    </row>
    <row r="24" customHeight="1" spans="1:3">
      <c r="A24" s="10" t="s">
        <v>68</v>
      </c>
      <c r="B24" s="11">
        <f>SUMIF(支出明细26049[分类],"工资",支出明细26049[支出明细])</f>
        <v>12000</v>
      </c>
      <c r="C24" s="12">
        <f>$B$24/$B$4</f>
        <v>0.47994394254751</v>
      </c>
    </row>
    <row r="25" customHeight="1" spans="1:3">
      <c r="A25" s="10" t="s">
        <v>6</v>
      </c>
      <c r="B25" s="11">
        <f>SUMIF(支出明细26049[分类],"房租",支出明细26049[支出明细])</f>
        <v>4333</v>
      </c>
      <c r="C25" s="12">
        <f>$B$25/$B$4</f>
        <v>0.173299758588197</v>
      </c>
    </row>
    <row r="26" customHeight="1" spans="1:3">
      <c r="A26" s="10" t="s">
        <v>32</v>
      </c>
      <c r="B26" s="11">
        <f>SUMIF(支出明细26049[分类],"推广",支出明细26049[支出明细])</f>
        <v>0</v>
      </c>
      <c r="C26" s="12">
        <f>$B$26/$B$4</f>
        <v>0</v>
      </c>
    </row>
    <row r="27" customHeight="1" spans="1:3">
      <c r="A27" s="10" t="s">
        <v>37</v>
      </c>
      <c r="B27" s="11">
        <f>SUMIF(支出明细26049[分类],"水电",支出明细26049[支出明细])</f>
        <v>3000</v>
      </c>
      <c r="C27" s="12">
        <f>$B$27/$B$4</f>
        <v>0.119985985636878</v>
      </c>
    </row>
    <row r="28" customHeight="1" spans="1:3">
      <c r="A28" s="10" t="s">
        <v>14</v>
      </c>
      <c r="B28" s="11">
        <f>SUMIF(支出明细26049[分类],"其他",支出明细26049[支出明细])</f>
        <v>1475</v>
      </c>
      <c r="C28" s="12">
        <f>$B$28/$B$4</f>
        <v>0.0589931096047982</v>
      </c>
    </row>
    <row r="29" customHeight="1" spans="1:3">
      <c r="A29" s="23" t="s">
        <v>65</v>
      </c>
      <c r="B29" s="24">
        <f>SUM(B23:B28)</f>
        <v>25002.92</v>
      </c>
      <c r="C29" s="25">
        <f>SUM($C$23:$C$28)</f>
        <v>1</v>
      </c>
    </row>
    <row r="32" customHeight="1" spans="1:3">
      <c r="A32" s="26" t="s">
        <v>69</v>
      </c>
      <c r="B32" s="27" t="s">
        <v>4</v>
      </c>
      <c r="C32" s="28" t="s">
        <v>5</v>
      </c>
    </row>
    <row r="33" customHeight="1" spans="1:3">
      <c r="A33" s="29">
        <v>0</v>
      </c>
      <c r="B33" s="27" t="s">
        <v>161</v>
      </c>
      <c r="C33" s="28"/>
    </row>
    <row r="34" customHeight="1" spans="1:3">
      <c r="A34" s="29">
        <v>0</v>
      </c>
      <c r="B34" s="27" t="s">
        <v>162</v>
      </c>
      <c r="C34" s="28"/>
    </row>
    <row r="35" customHeight="1" spans="1:3">
      <c r="A35" s="29">
        <v>0</v>
      </c>
      <c r="B35" s="27" t="s">
        <v>63</v>
      </c>
      <c r="C35" s="28"/>
    </row>
    <row r="36" customHeight="1" spans="1:3">
      <c r="A36" s="29">
        <v>0</v>
      </c>
      <c r="B36" s="27" t="s">
        <v>64</v>
      </c>
      <c r="C36" s="28"/>
    </row>
    <row r="37" customHeight="1" spans="1:3">
      <c r="A37" s="29">
        <v>0</v>
      </c>
      <c r="B37" s="27" t="s">
        <v>60</v>
      </c>
      <c r="C37" s="28"/>
    </row>
    <row r="38" customHeight="1" spans="1:3">
      <c r="A38" s="29">
        <v>0</v>
      </c>
      <c r="B38" s="27" t="s">
        <v>61</v>
      </c>
      <c r="C38" s="28"/>
    </row>
    <row r="39" customHeight="1" spans="1:3">
      <c r="A39" s="26"/>
      <c r="B39" s="30"/>
      <c r="C39" s="31"/>
    </row>
    <row r="40" customHeight="1" spans="1:3">
      <c r="A40" s="26"/>
      <c r="B40" s="30"/>
      <c r="C40" s="32"/>
    </row>
    <row r="41" customHeight="1" spans="1:3">
      <c r="A41" s="26" t="s">
        <v>71</v>
      </c>
      <c r="B41" s="28" t="s">
        <v>4</v>
      </c>
      <c r="C41" s="28" t="s">
        <v>5</v>
      </c>
    </row>
    <row r="42" hidden="1" customHeight="1" spans="1:3">
      <c r="A42" s="26">
        <v>4333</v>
      </c>
      <c r="B42" s="28" t="s">
        <v>6</v>
      </c>
      <c r="C42" s="28" t="s">
        <v>72</v>
      </c>
    </row>
    <row r="43" hidden="1" customHeight="1" spans="1:3">
      <c r="A43" s="26">
        <v>12000</v>
      </c>
      <c r="B43" s="28" t="s">
        <v>68</v>
      </c>
      <c r="C43" s="28" t="s">
        <v>138</v>
      </c>
    </row>
    <row r="44" hidden="1" customHeight="1" spans="1:3">
      <c r="A44" s="26">
        <v>3000</v>
      </c>
      <c r="B44" s="28" t="s">
        <v>37</v>
      </c>
      <c r="C44" s="28" t="s">
        <v>138</v>
      </c>
    </row>
    <row r="45" customHeight="1" spans="1:3">
      <c r="A45" s="26">
        <v>2000</v>
      </c>
      <c r="B45" s="27" t="s">
        <v>25</v>
      </c>
      <c r="C45" s="28" t="s">
        <v>163</v>
      </c>
    </row>
    <row r="46" customHeight="1" spans="1:3">
      <c r="A46" s="26">
        <v>915</v>
      </c>
      <c r="B46" s="2" t="s">
        <v>25</v>
      </c>
      <c r="C46" s="2" t="s">
        <v>164</v>
      </c>
    </row>
    <row r="47" customHeight="1" spans="1:3">
      <c r="A47" s="26">
        <v>601.92</v>
      </c>
      <c r="B47" s="2" t="s">
        <v>25</v>
      </c>
      <c r="C47" s="2" t="s">
        <v>112</v>
      </c>
    </row>
    <row r="48" hidden="1" customHeight="1" spans="1:3">
      <c r="A48" s="26">
        <v>1275</v>
      </c>
      <c r="B48" s="2" t="s">
        <v>14</v>
      </c>
      <c r="C48" s="2" t="s">
        <v>160</v>
      </c>
    </row>
    <row r="49" customHeight="1" spans="1:3">
      <c r="A49" s="26">
        <v>200</v>
      </c>
      <c r="B49" s="2" t="s">
        <v>14</v>
      </c>
      <c r="C49" s="2" t="s">
        <v>145</v>
      </c>
    </row>
    <row r="50" customHeight="1" spans="1:3">
      <c r="A50" s="26">
        <v>678</v>
      </c>
      <c r="B50" s="2" t="s">
        <v>25</v>
      </c>
      <c r="C50" s="2" t="s">
        <v>165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8 B49 B50 B2:B7 B42:B45 B46:B47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开店成本清单</vt:lpstr>
      <vt:lpstr>2026-02流水</vt:lpstr>
      <vt:lpstr>2026-03流水</vt:lpstr>
      <vt:lpstr>2026-04流水</vt:lpstr>
      <vt:lpstr>2026-05流水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2026-03-01T03:28:00Z</dcterms:created>
  <dcterms:modified xsi:type="dcterms:W3CDTF">2026-05-02T09:24:28Z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