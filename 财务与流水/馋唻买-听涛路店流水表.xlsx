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tabRatio="723" firstSheet="1" activeTab="6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<sst xmlns="http://schemas.openxmlformats.org/spreadsheetml/2006/main" count="827" uniqueCount="201">
  <si>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</si>
  <si>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</si>
  <si>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</si>
  <si>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</si>
  <si>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</si>
  <si>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</si>
  <si>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</si>
  <si>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</si>
  <si>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</si>
  <si>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</si>
  <si>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</si>
  <si>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</si>
  <si>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</si>
  <si>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</si>
  <si>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</si>
  <si>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</si>
  <si>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</si>
  <si>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</si>
  <si>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</si>
  <si>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</si>
  <si>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</si>
  <si>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</si>
  <si>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</si>
  <si>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</si>
  <si>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</si>
  <si>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</si>
  <si>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</si>
  <si>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</si>
  <si>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</si>
  <si>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</si>
  <si>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</si>
  <si>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</si>
  <si>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</si>
  <si>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</si>
  <si>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</si>
  <si>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</si>
  <si>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</si>
  <si>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</si>
  <si>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</si>
  <si>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</si>
  <si>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</si>
  <si>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</si>
  <si>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</si>
  <si>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</si>
  <si>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</si>
  <si>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</si>
  <si>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</si>
  <si>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</si>
  <si>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</si>
  <si>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</si>
  <si>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</si>
  <si>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</si>
  <si>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</si>
  <si>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</si>
  <si>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</si>
  <si>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</si>
  <si>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</si>
  <si>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</si>
  <si>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</si>
  <si>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</si>
  <si>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</si>
  <si>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</si>
  <si>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</si>
  <si>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</si>
  <si>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</si>
  <si>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</si>
  <si>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</si>
  <si>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</si>
  <si>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</si>
  <si>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</si>
  <si>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</si>
  <si>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</si>
  <si>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</si>
  <si>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</si>
  <si>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</si>
  <si>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</si>
  <si>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</si>
  <si>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</si>
  <si>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</si>
  <si>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</si>
  <si>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</si>
  <si>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</si>
  <si>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</si>
  <si>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</si>
  <si>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</si>
  <si>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</si>
  <si>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</si>
  <si>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</si>
  <si>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</si>
  <si>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</si>
  <si>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</si>
  <si>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</si>
  <si>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</si>
  <si>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</si>
  <si>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</si>
  <si>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</si>
  <si>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</si>
  <si>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</si>
  <si>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</si>
  <si>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</si>
  <si>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</si>
  <si>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</si>
  <si>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</si>
  <si>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</si>
  <si>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</si>
  <si>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</si>
  <si>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</si>
  <si>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</si>
  <si>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</si>
  <si>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</si>
  <si>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</si>
  <si>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</si>
  <si>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</si>
  <si>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</si>
  <si>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</si>
  <si>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</si>
  <si>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</si>
  <si>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</si>
  <si>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</si>
  <si>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</si>
  <si>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</si>
  <si>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</si>
  <si>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</si>
  <si>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</si>
  <si>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</si>
  <si>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</si>
  <si>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</si>
  <si>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</si>
  <si>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</si>
  <si>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</si>
  <si>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</si>
  <si>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</si>
  <si>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</si>
  <si>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</si>
  <si>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</si>
  <si>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</si>
  <si>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</si>
  <si>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</si>
  <si>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</si>
  <si>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</si>
  <si>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</si>
  <si>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</si>
  <si>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</si>
  <si>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</si>
  <si>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</si>
  <si>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</si>
  <si>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</si>
  <si>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</si>
  <si>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</si>
  <si>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</si>
  <si>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</si>
  <si>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</si>
  <si>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</si>
  <si>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</si>
  <si>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</si>
  <si>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</si>
  <si>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</si>
  <si>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</si>
  <si>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</si>
  <si>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</si>
  <si>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</si>
  <si>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</si>
  <si>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</si>
  <si>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</si>
  <si>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</si>
  <si>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</si>
  <si>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</si>
  <si>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</si>
  <si>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</si>
  <si>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</si>
  <si>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</si>
  <si>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</si>
  <si>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</si>
  <si>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</si>
  <si>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</si>
  <si>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</si>
  <si>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</si>
  <si>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</si>
  <si>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</si>
  <si>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</si>
  <si>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</si>
  <si>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</si>
  <si>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</si>
  <si>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</si>
  <si>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</si>
  <si>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</si>
  <si>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</si>
  <si>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</si>
  <si>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</si>
  <si>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</si>
  <si>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</si>
  <si>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</si>
  <si>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</si>
  <si>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硕美进货运费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</si>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</sst>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178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9" fillId="4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16" fillId="27" borderId="11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4" fillId="24" borderId="11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3" fillId="38" borderId="13" applyNumberFormat="0" applyAlignment="0" applyProtection="0">
      <alignment vertical="center"/>
    </xf>
    <xf numFmtId="0" fontId="14" fillId="24" borderId="10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42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7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7" customWidth="1"/>
    <col min="2" max="2" width="30.6634615384615" style="78" customWidth="1"/>
    <col min="3" max="3" width="30.6634615384615" style="79" customWidth="1"/>
    <col min="4" max="4" width="30.6634615384615" style="78" customWidth="1"/>
    <col min="5" max="16384" width="30.663461538461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7" customWidth="1"/>
    <col min="3" max="3" width="30.6634615384615" style="48" customWidth="1"/>
    <col min="4" max="4" width="30.6634615384615" style="47" customWidth="1"/>
    <col min="5" max="16384" width="30.663461538461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D15" sqref="D15"/>
    </sheetView>
  </sheetViews>
  <sheetFormatPr defaultColWidth="30.6634615384615" defaultRowHeight="25.05" customHeight="1" outlineLevelCol="2"/>
  <cols>
    <col min="1" max="1" width="30.6634615384615" style="38" customWidth="1"/>
    <col min="2" max="2" width="30.6634615384615" style="2" customWidth="1"/>
    <col min="3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9" sqref="B19"/>
    </sheetView>
  </sheetViews>
  <sheetFormatPr defaultColWidth="30.6634615384615" defaultRowHeight="25.05" customHeight="1" outlineLevelCol="2"/>
  <cols>
    <col min="1" max="1" width="30.6634615384615" style="38" customWidth="1"/>
    <col min="2" max="2" width="30.6634615384615" style="2" customWidth="1"/>
    <col min="3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9" workbookViewId="0">
      <selection activeCell="A11" sqref="A11:C11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73</v>
      </c>
    </row>
    <row r="46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165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topLeftCell="A21" workbookViewId="0">
      <selection activeCell="D56" sqref="D5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40127.17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-19794.17</v>
      </c>
      <c r="C5" s="15" t="s">
        <v>49</v>
      </c>
    </row>
    <row r="6" customHeight="1" spans="1:3">
      <c r="A6" s="13" t="s">
        <v>52</v>
      </c>
      <c r="B6" s="14">
        <f>$B$3-$B$4</f>
        <v>-40127.17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SUMIF(收入明细260410_1220[分类],"美团外卖",收入明细260410_1220[收入明细])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SUMIF(收入明细260410_1220[分类],"抖音来客",收入明细260410_1220[收入明细])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SUMIF(收入明细260410_1220[分类],"微信堂食",收入明细260410_1220[收入明细])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SUMIF(收入明细260410_1220[分类],"支付宝堂食",收入明细260410_1220[收入明细])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SUMIF(收入明细260410_1220[分类],"京东外卖",收入明细260410_1220[收入明细])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19794.17</v>
      </c>
      <c r="C24" s="16">
        <f>$B$24/$B$4</f>
        <v>0.49328597057804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0.299049247679316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0.107981699182873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0.0747623119198289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0.024920770639943</v>
      </c>
    </row>
    <row r="30" customHeight="1" spans="1:3">
      <c r="A30" s="29" t="s">
        <v>65</v>
      </c>
      <c r="B30" s="30">
        <f>SUM(B24:B29)</f>
        <v>40127.17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9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2026-03-06T03:28:00Z</dcterms:created>
  <dcterms:modified xsi:type="dcterms:W3CDTF">2026-07-20T15:26:06Z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