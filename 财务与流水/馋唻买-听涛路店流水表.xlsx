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CB57DF75-57C0-40BF-9500-38A08C5A8FB4}" xr6:coauthVersionLast="47" xr6:coauthVersionMax="47" xr10:uidLastSave="{00000000-0000-0000-0000-000000000000}"/>
  <bookViews>
    <workbookView xWindow="1170" yWindow="1170" windowWidth="35070" windowHeight="19335" activeTab="2" xr2:uid="{00000000-000D-0000-FFFF-FFFF00000000}"/>
  </bookViews>
  <sheets>
    <sheet name="开店成本清单" sheetId="1" r:id="rId1"/>
    <sheet name="流水-202602 (2)" sheetId="3" r:id="rId2"/>
    <sheet name="流水-202603" sheetId="2" r:id="rId3"/>
  </sheets>
  <calcPr calcId="191029"/>
</workbook>
</file>

<file path=xl/calcChain.xml><?xml version="1.0" encoding="utf-8"?>
<calcChain xmlns="http://schemas.openxmlformats.org/spreadsheetml/2006/main">
  <c r="B19" i="2" l="1"/>
  <c r="B20" i="2"/>
  <c r="B34" i="3"/>
  <c r="B33" i="3"/>
  <c r="C2" i="1"/>
  <c r="C3" i="1" s="1"/>
</calcChain>
</file>

<file path=xl/sharedStrings.xml><?xml version="1.0" encoding="utf-8"?>
<sst xmlns="http://schemas.openxmlformats.org/spreadsheetml/2006/main" count="167" uniqueCount="75">
  <si>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</si>
  <si>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</si>
  <si>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</si>
  <si>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</si>
  <si>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</si>
  <si>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</si>
  <si>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</si>
  <si>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</si>
  <si>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</si>
  <si>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</si>
  <si>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</si>
  <si>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</si>
  <si>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</si>
  <si>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</si>
  <si>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</si>
  <si>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</si>
  <si>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</si>
  <si>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</si>
  <si>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</si>
  <si>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</si>
  <si>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</si>
  <si>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</si>
  <si>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</si>
  <si>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</si>
  <si>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</si>
  <si>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</si>
  <si>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</si>
  <si>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</si>
  <si>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</si>
  <si>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</si>
  <si>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</si>
  <si>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</si>
  <si>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</si>
  <si>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</si>
  <si>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</si>
  <si>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</si>
  <si>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</si>
  <si>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</si>
  <si>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</si>
  <si>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</si>
  <si>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</si>
  <si>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</si>
  <si>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</si>
  <si>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</si>
  <si>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</si>
  <si>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</si>
  <si>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</si>
  <si>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</si>
  <si>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</si>
  <si>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</si>
  <si>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</si>
  <si>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</si>
  <si>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</si>
  <si>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</si>
  <si>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</si>
  <si>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</si>
  <si>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</si>
  <si>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</si>
  <si>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</si>
  <si>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</si>
  <si>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</si>
  <si>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</si>
  <si>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</si>
  <si>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</si>
  <si>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</si>
  <si>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</si>
  <si>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</si>
  <si>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</si>
  <si>
    <t>其他</t>
    <phoneticPr fontId="4" type="noConversion"/>
  </si>
  <si>
    <t>PE食品保鲜袋</t>
    <phoneticPr fontId="4" type="noConversion"/>
  </si>
  <si>
    <t>食材</t>
    <phoneticPr fontId="4" type="noConversion"/>
  </si>
  <si>
    <t>火鸡面补货</t>
    <phoneticPr fontId="4" type="noConversion"/>
  </si>
  <si>
    <t>食材</t>
    <phoneticPr fontId="4" type="noConversion"/>
  </si>
  <si>
    <t>快驴补货</t>
    <phoneticPr fontId="4" type="noConversion"/>
  </si>
  <si>
    <t>首批调味粉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</si>
</sst>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5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horizontal="left"/>
    </xf>
    <xf numFmtId="4" fontId="2" fillId="0" borderId="0" xfId="0" applyNumberFormat="1" applyFont="1" applyAlignment="1">
      <alignment horizontal="left"/>
    </xf>
    <xf numFmtId="177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133350</xdr:colOff>
      <xdr:row>49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5:C30" totalsRowShown="0">
  <autoFilter ref="A25:C30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3" totalsRowShown="0">
  <autoFilter ref="A1:C23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12:C16" totalsRowShown="0">
  <autoFilter ref="A12:C16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9" totalsRowShown="0">
  <autoFilter ref="A1:C9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99761.380000000019</v>
      </c>
    </row>
    <row r="3" spans="1:3" ht="15" customHeight="1" x14ac:dyDescent="0.15">
      <c r="A3" s="5" t="s">
        <v>2</v>
      </c>
      <c r="C3" s="10">
        <f>C1-C2</f>
        <v>238.61999999998079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3">
        <v>174</v>
      </c>
      <c r="B41" s="12" t="s">
        <v>25</v>
      </c>
      <c r="C41" s="13" t="s">
        <v>36</v>
      </c>
    </row>
    <row r="42" spans="1:3" ht="15" customHeight="1" x14ac:dyDescent="0.15">
      <c r="A42" s="3">
        <v>33.6</v>
      </c>
      <c r="B42" s="12" t="s">
        <v>14</v>
      </c>
      <c r="C42" s="13" t="s">
        <v>42</v>
      </c>
    </row>
    <row r="43" spans="1:3" ht="15" customHeight="1" x14ac:dyDescent="0.15">
      <c r="A43" s="3">
        <v>500</v>
      </c>
      <c r="B43" s="12" t="s">
        <v>25</v>
      </c>
      <c r="C43" s="13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7"/>
  <sheetViews>
    <sheetView workbookViewId="0">
      <selection activeCell="G23" sqref="G23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12000</v>
      </c>
      <c r="B3" s="2" t="s">
        <v>45</v>
      </c>
      <c r="C3" s="2" t="s">
        <v>46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47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3">
        <v>174</v>
      </c>
      <c r="B18" s="4" t="s">
        <v>25</v>
      </c>
      <c r="C18" s="4" t="s">
        <v>36</v>
      </c>
    </row>
    <row r="19" spans="1:3" ht="15" customHeight="1" x14ac:dyDescent="0.15">
      <c r="A19" s="3">
        <v>33.6</v>
      </c>
      <c r="B19" s="4" t="s">
        <v>14</v>
      </c>
      <c r="C19" s="4" t="s">
        <v>42</v>
      </c>
    </row>
    <row r="20" spans="1:3" ht="15" customHeight="1" x14ac:dyDescent="0.15">
      <c r="A20" s="3">
        <v>500</v>
      </c>
      <c r="B20" s="4" t="s">
        <v>25</v>
      </c>
      <c r="C20" s="4" t="s">
        <v>26</v>
      </c>
    </row>
    <row r="21" spans="1:3" ht="15" customHeight="1" x14ac:dyDescent="0.15">
      <c r="A21" s="5">
        <v>1000</v>
      </c>
      <c r="B21" s="6" t="s">
        <v>32</v>
      </c>
      <c r="C21" s="2" t="s">
        <v>48</v>
      </c>
    </row>
    <row r="22" spans="1:3" ht="15" customHeight="1" x14ac:dyDescent="0.15">
      <c r="A22" s="2"/>
      <c r="B22" s="14"/>
      <c r="C22" s="15"/>
    </row>
    <row r="23" spans="1:3" ht="15" customHeight="1" x14ac:dyDescent="0.15">
      <c r="A23" s="2"/>
      <c r="B23" s="14"/>
      <c r="C23" s="15"/>
    </row>
    <row r="24" spans="1:3" ht="15" customHeight="1" x14ac:dyDescent="0.15">
      <c r="A24" s="5"/>
      <c r="B24" s="6"/>
      <c r="C24" s="2"/>
    </row>
    <row r="25" spans="1:3" ht="15" customHeight="1" x14ac:dyDescent="0.15">
      <c r="A25" s="5" t="s">
        <v>49</v>
      </c>
      <c r="B25" s="6" t="s">
        <v>4</v>
      </c>
      <c r="C25" s="2" t="s">
        <v>5</v>
      </c>
    </row>
    <row r="26" spans="1:3" ht="15" customHeight="1" x14ac:dyDescent="0.15">
      <c r="A26" s="7">
        <v>6370.2</v>
      </c>
      <c r="B26" s="6" t="s">
        <v>50</v>
      </c>
      <c r="C26" s="2"/>
    </row>
    <row r="27" spans="1:3" ht="15" customHeight="1" x14ac:dyDescent="0.15">
      <c r="A27" s="7">
        <v>1789.99</v>
      </c>
      <c r="B27" s="6" t="s">
        <v>51</v>
      </c>
      <c r="C27" s="2"/>
    </row>
    <row r="28" spans="1:3" ht="15" customHeight="1" x14ac:dyDescent="0.15">
      <c r="A28" s="7">
        <v>0</v>
      </c>
      <c r="B28" s="6" t="s">
        <v>52</v>
      </c>
      <c r="C28" s="2"/>
    </row>
    <row r="29" spans="1:3" ht="15" customHeight="1" x14ac:dyDescent="0.15">
      <c r="A29" s="7">
        <v>16451.39</v>
      </c>
      <c r="B29" s="6" t="s">
        <v>53</v>
      </c>
      <c r="C29" s="2"/>
    </row>
    <row r="30" spans="1:3" ht="15" customHeight="1" x14ac:dyDescent="0.15">
      <c r="A30" s="7">
        <v>11352.59</v>
      </c>
      <c r="B30" s="6" t="s">
        <v>54</v>
      </c>
      <c r="C30" s="2"/>
    </row>
    <row r="33" spans="1:3" ht="15" customHeight="1" x14ac:dyDescent="0.15">
      <c r="A33" s="5" t="s">
        <v>55</v>
      </c>
      <c r="B33" s="8">
        <f>SUM(成本明细表_6[成本明细])</f>
        <v>42012.810000000005</v>
      </c>
      <c r="C33" s="9"/>
    </row>
    <row r="34" spans="1:3" ht="15" customHeight="1" x14ac:dyDescent="0.15">
      <c r="A34" s="5" t="s">
        <v>56</v>
      </c>
      <c r="B34" s="8">
        <f>SUM(营业额明细表_5[营业额明细])</f>
        <v>35964.17</v>
      </c>
      <c r="C34" s="10"/>
    </row>
    <row r="35" spans="1:3" ht="15" customHeight="1" x14ac:dyDescent="0.15">
      <c r="A35" s="5" t="s">
        <v>57</v>
      </c>
      <c r="C35" s="10"/>
    </row>
    <row r="37" spans="1:3" ht="15" customHeight="1" x14ac:dyDescent="0.15">
      <c r="A37" t="s">
        <v>58</v>
      </c>
    </row>
  </sheetData>
  <phoneticPr fontId="4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22"/>
  <sheetViews>
    <sheetView tabSelected="1" workbookViewId="0">
      <selection activeCell="B20" sqref="B20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18000</v>
      </c>
      <c r="B3" s="2" t="s">
        <v>45</v>
      </c>
      <c r="C3" s="2" t="s">
        <v>59</v>
      </c>
    </row>
    <row r="4" spans="1:3" ht="15" customHeight="1" x14ac:dyDescent="0.15">
      <c r="A4" s="1">
        <v>4140</v>
      </c>
      <c r="B4" s="2" t="s">
        <v>25</v>
      </c>
      <c r="C4" s="2" t="s">
        <v>60</v>
      </c>
    </row>
    <row r="5" spans="1:3" ht="15" customHeight="1" x14ac:dyDescent="0.15">
      <c r="A5" s="3">
        <v>7886</v>
      </c>
      <c r="B5" s="4" t="s">
        <v>25</v>
      </c>
      <c r="C5" s="4" t="s">
        <v>61</v>
      </c>
    </row>
    <row r="6" spans="1:3" ht="15" customHeight="1" x14ac:dyDescent="0.15">
      <c r="A6" s="16">
        <v>28.64</v>
      </c>
      <c r="B6" s="17" t="s">
        <v>68</v>
      </c>
      <c r="C6" s="17" t="s">
        <v>69</v>
      </c>
    </row>
    <row r="7" spans="1:3" ht="15" customHeight="1" x14ac:dyDescent="0.15">
      <c r="A7" s="16">
        <v>44.48</v>
      </c>
      <c r="B7" s="17" t="s">
        <v>70</v>
      </c>
      <c r="C7" s="17" t="s">
        <v>71</v>
      </c>
    </row>
    <row r="8" spans="1:3" ht="15" customHeight="1" x14ac:dyDescent="0.15">
      <c r="A8" s="3">
        <v>3000</v>
      </c>
      <c r="B8" s="4" t="s">
        <v>72</v>
      </c>
      <c r="C8" s="4" t="s">
        <v>73</v>
      </c>
    </row>
    <row r="9" spans="1:3" ht="15" customHeight="1" x14ac:dyDescent="0.15">
      <c r="A9" s="3">
        <v>23</v>
      </c>
      <c r="B9" s="4" t="s">
        <v>72</v>
      </c>
      <c r="C9" s="4" t="s">
        <v>74</v>
      </c>
    </row>
    <row r="10" spans="1:3" ht="15" customHeight="1" x14ac:dyDescent="0.15">
      <c r="A10" s="3"/>
      <c r="B10" s="4"/>
      <c r="C10" s="4"/>
    </row>
    <row r="11" spans="1:3" ht="15" customHeight="1" x14ac:dyDescent="0.15">
      <c r="A11" s="5"/>
      <c r="B11" s="6"/>
      <c r="C11" s="2"/>
    </row>
    <row r="12" spans="1:3" ht="15" customHeight="1" x14ac:dyDescent="0.15">
      <c r="A12" s="5" t="s">
        <v>49</v>
      </c>
      <c r="B12" s="6" t="s">
        <v>4</v>
      </c>
      <c r="C12" s="2" t="s">
        <v>5</v>
      </c>
    </row>
    <row r="13" spans="1:3" ht="15" customHeight="1" x14ac:dyDescent="0.15">
      <c r="A13" s="7">
        <v>0</v>
      </c>
      <c r="B13" s="6" t="s">
        <v>62</v>
      </c>
      <c r="C13" s="2"/>
    </row>
    <row r="14" spans="1:3" ht="15" customHeight="1" x14ac:dyDescent="0.15">
      <c r="A14" s="7">
        <v>0</v>
      </c>
      <c r="B14" s="6" t="s">
        <v>63</v>
      </c>
      <c r="C14" s="2"/>
    </row>
    <row r="15" spans="1:3" ht="15" customHeight="1" x14ac:dyDescent="0.15">
      <c r="A15" s="7">
        <v>0</v>
      </c>
      <c r="B15" s="6" t="s">
        <v>64</v>
      </c>
      <c r="C15" s="2"/>
    </row>
    <row r="16" spans="1:3" ht="15" customHeight="1" x14ac:dyDescent="0.15">
      <c r="A16" s="7">
        <v>0</v>
      </c>
      <c r="B16" s="6" t="s">
        <v>65</v>
      </c>
      <c r="C16" s="2"/>
    </row>
    <row r="19" spans="1:3" ht="15" customHeight="1" x14ac:dyDescent="0.15">
      <c r="A19" s="5" t="s">
        <v>55</v>
      </c>
      <c r="B19" s="8">
        <f>SUM(成本明细表[成本明细])</f>
        <v>37455.120000000003</v>
      </c>
      <c r="C19" s="9"/>
    </row>
    <row r="20" spans="1:3" ht="15" customHeight="1" x14ac:dyDescent="0.15">
      <c r="A20" s="5" t="s">
        <v>56</v>
      </c>
      <c r="B20" s="8">
        <f>SUM(营业额明细表[营业额明细])</f>
        <v>0</v>
      </c>
      <c r="C20" s="10"/>
    </row>
    <row r="21" spans="1:3" ht="15" customHeight="1" x14ac:dyDescent="0.15">
      <c r="A21" s="5" t="s">
        <v>66</v>
      </c>
      <c r="C21" s="10"/>
    </row>
    <row r="22" spans="1:3" ht="15" customHeight="1" x14ac:dyDescent="0.15">
      <c r="A22" t="s">
        <v>67</v>
      </c>
    </row>
  </sheetData>
  <phoneticPr fontId="4" type="noConversion"/>
  <dataValidations count="1">
    <dataValidation type="list" allowBlank="1" showInputMessage="1" showErrorMessage="1" sqref="B2:B10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2026-02-03T19:28:00Z</dcterms:created>
  <dcterms:modified xsi:type="dcterms:W3CDTF">2026-02-28T10:58:44Z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