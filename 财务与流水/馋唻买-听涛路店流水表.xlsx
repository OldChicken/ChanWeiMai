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<sst xmlns="http://schemas.openxmlformats.org/spreadsheetml/2006/main" count="1007" uniqueCount="221">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</sst>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2" formatCode="_ &quot;￥&quot;* #,##0_ ;_ &quot;￥&quot;* \-#,##0_ ;_ &quot;￥&quot;* &quot;-&quot;_ ;_ @_ 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8" formatCode="#,##0.00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4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20" fillId="25" borderId="11" applyNumberForma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2" fillId="32" borderId="11" applyNumberFormat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5" fillId="20" borderId="9" applyNumberFormat="0" applyAlignment="0" applyProtection="0">
      <alignment vertical="center"/>
    </xf>
    <xf numFmtId="0" fontId="24" fillId="32" borderId="1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workbookViewId="0">
      <selection activeCell="A10" sqref="A10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36923.89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34486.34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17770.55</v>
      </c>
      <c r="C5" s="15" t="s">
        <v>49</v>
      </c>
    </row>
    <row r="6" customHeight="1" spans="1:3">
      <c r="A6" s="13" t="s">
        <v>52</v>
      </c>
      <c r="B6" s="14">
        <f>$B$3-$B$4</f>
        <v>2437.55</v>
      </c>
      <c r="C6" s="15" t="s">
        <v>49</v>
      </c>
    </row>
    <row r="7" customHeight="1" spans="1:3">
      <c r="A7" s="13" t="s">
        <v>53</v>
      </c>
      <c r="B7" s="16">
        <f>$B$5/$B$3</f>
        <v>0.481275131087218</v>
      </c>
      <c r="C7" s="15" t="s">
        <v>54</v>
      </c>
    </row>
    <row r="8" customHeight="1" spans="1:3">
      <c r="A8" s="13" t="s">
        <v>55</v>
      </c>
      <c r="B8" s="16">
        <f>$B$6/$B$3</f>
        <v>0.0660155254497834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16613.36</v>
      </c>
      <c r="C13" s="16">
        <f>$B$13/$B$3</f>
        <v>0.449935258717324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14177.95</v>
      </c>
      <c r="C14" s="16">
        <f>$B$14/$B$3</f>
        <v>0.383977690324611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40.11</v>
      </c>
      <c r="C15" s="16">
        <f>$B$15/$B$3</f>
        <v>0.00108628857902025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2839.61</v>
      </c>
      <c r="C16" s="16">
        <f>$B$16/$B$3</f>
        <v>0.0769044106674567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2057.57</v>
      </c>
      <c r="C17" s="16">
        <f>$B$17/$B$3</f>
        <v>0.0557246270639415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1195.29</v>
      </c>
      <c r="C18" s="16">
        <f>$B$18/$B$3</f>
        <v>0.0323717246476468</v>
      </c>
    </row>
    <row r="19" customHeight="1" spans="1:3">
      <c r="A19" s="20" t="s">
        <v>65</v>
      </c>
      <c r="B19" s="21">
        <f>SUM(B13:B18)</f>
        <v>36923.89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19153.34</v>
      </c>
      <c r="C24" s="16">
        <f>$B$24/$B$4</f>
        <v>0.555389177280048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0.246474401168695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0.125643950619289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0.072492470931969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34486.34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2692.66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2057.57</v>
      </c>
      <c r="B36" s="32" t="s">
        <v>63</v>
      </c>
      <c r="C36" s="33"/>
    </row>
    <row r="37" customHeight="1" spans="1:3">
      <c r="A37" s="34">
        <v>1195.29</v>
      </c>
      <c r="B37" s="32" t="s">
        <v>64</v>
      </c>
      <c r="C37" s="33"/>
    </row>
    <row r="38" customHeight="1" spans="1:3">
      <c r="A38" s="34">
        <v>16613.36</v>
      </c>
      <c r="B38" s="32" t="s">
        <v>60</v>
      </c>
      <c r="C38" s="33"/>
    </row>
    <row r="39" customHeight="1" spans="1:3">
      <c r="A39" s="34">
        <v>14177.95</v>
      </c>
      <c r="B39" s="32" t="s">
        <v>61</v>
      </c>
      <c r="C39" s="33"/>
    </row>
    <row r="40" customHeight="1" spans="1:3">
      <c r="A40" s="1">
        <v>40.11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2026-03-09T19:28:00Z</dcterms:created>
  <dcterms:modified xsi:type="dcterms:W3CDTF">2026-10-01T09:51:28Z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