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<sst xmlns="http://schemas.openxmlformats.org/spreadsheetml/2006/main" count="405" uniqueCount="134">
  <si>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</si>
  <si>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</si>
  <si>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</si>
  <si>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</si>
  <si>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</si>
  <si>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</si>
  <si>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</si>
  <si>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</si>
  <si>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</si>
  <si>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</si>
  <si>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</si>
  <si>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</si>
  <si>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</si>
  <si>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</si>
  <si>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</si>
  <si>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</si>
  <si>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</si>
  <si>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</si>
  <si>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</si>
  <si>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</si>
  <si>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</si>
  <si>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</si>
  <si>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</si>
  <si>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</si>
  <si>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</si>
  <si>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</si>
  <si>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</si>
  <si>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</si>
  <si>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</si>
  <si>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</si>
  <si>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</si>
  <si>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</si>
  <si>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</si>
  <si>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</si>
  <si>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</si>
  <si>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</si>
  <si>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</si>
  <si>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</si>
  <si>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</si>
  <si>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</si>
  <si>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</si>
  <si>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</si>
  <si>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</si>
  <si>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</si>
  <si>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</si>
  <si>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</si>
  <si>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</si>
  <si>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</si>
  <si>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</si>
  <si>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</si>
  <si>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</si>
  <si>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</si>
  <si>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</si>
  <si>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</si>
  <si>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</si>
  <si>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</si>
  <si>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</si>
  <si>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</si>
  <si>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</si>
  <si>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</si>
  <si>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</si>
  <si>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</si>
  <si>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</si>
  <si>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</si>
  <si>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</si>
  <si>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</si>
  <si>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</si>
  <si>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</si>
  <si>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</si>
  <si>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</si>
  <si>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</si>
  <si>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</si>
  <si>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</si>
  <si>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老池自购食材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</si>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</sst>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177" formatCode="#,##0.00_ "/>
    <numFmt numFmtId="42" formatCode="_ &quot;￥&quot;* #,##0_ ;_ &quot;￥&quot;* \-#,##0_ ;_ &quot;￥&quot;* &quot;-&quot;_ ;_ @_ "/>
    <numFmt numFmtId="43" formatCode="_ * #,##0.00_ ;_ * \-#,##0.00_ ;_ * &quot;-&quot;??_ ;_ @_ "/>
    <numFmt numFmtId="178" formatCode="0.00_ ;[Red]\-0.00\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6" fillId="25" borderId="0">
      <alignment vertical="center"/>
    </xf>
    <xf numFmtId="0" fontId="7" fillId="41" borderId="0">
      <alignment vertical="center"/>
    </xf>
    <xf numFmtId="0" fontId="6" fillId="42" borderId="0">
      <alignment vertical="center"/>
    </xf>
    <xf numFmtId="0" fontId="23" fillId="36" borderId="9">
      <alignment vertical="center"/>
    </xf>
    <xf numFmtId="0" fontId="7" fillId="22" borderId="0">
      <alignment vertical="center"/>
    </xf>
    <xf numFmtId="0" fontId="7" fillId="35" borderId="0">
      <alignment vertical="center"/>
    </xf>
    <xf numFmtId="44" fontId="0" fillId="0" borderId="0">
      <alignment vertical="center"/>
    </xf>
    <xf numFmtId="0" fontId="6" fillId="32" borderId="0">
      <alignment vertical="center"/>
    </xf>
    <xf numFmtId="9" fontId="0" fillId="0" borderId="0">
      <alignment vertical="center"/>
    </xf>
    <xf numFmtId="0" fontId="6" fillId="30" borderId="0">
      <alignment vertical="center"/>
    </xf>
    <xf numFmtId="0" fontId="6" fillId="39" borderId="0">
      <alignment vertical="center"/>
    </xf>
    <xf numFmtId="0" fontId="6" fillId="29" borderId="0">
      <alignment vertical="center"/>
    </xf>
    <xf numFmtId="0" fontId="6" fillId="27" borderId="0">
      <alignment vertical="center"/>
    </xf>
    <xf numFmtId="0" fontId="6" fillId="40" borderId="0">
      <alignment vertical="center"/>
    </xf>
    <xf numFmtId="0" fontId="19" fillId="26" borderId="9">
      <alignment vertical="center"/>
    </xf>
    <xf numFmtId="0" fontId="6" fillId="20" borderId="0">
      <alignment vertical="center"/>
    </xf>
    <xf numFmtId="0" fontId="18" fillId="23" borderId="0">
      <alignment vertical="center"/>
    </xf>
    <xf numFmtId="0" fontId="7" fillId="37" borderId="0">
      <alignment vertical="center"/>
    </xf>
    <xf numFmtId="0" fontId="16" fillId="21" borderId="0">
      <alignment vertical="center"/>
    </xf>
    <xf numFmtId="0" fontId="7" fillId="24" borderId="0">
      <alignment vertical="center"/>
    </xf>
    <xf numFmtId="0" fontId="17" fillId="0" borderId="8">
      <alignment vertical="center"/>
    </xf>
    <xf numFmtId="0" fontId="20" fillId="33" borderId="0">
      <alignment vertical="center"/>
    </xf>
    <xf numFmtId="0" fontId="14" fillId="19" borderId="7">
      <alignment vertical="center"/>
    </xf>
    <xf numFmtId="0" fontId="21" fillId="26" borderId="12">
      <alignment vertical="center"/>
    </xf>
    <xf numFmtId="0" fontId="9" fillId="0" borderId="6">
      <alignment vertical="center"/>
    </xf>
    <xf numFmtId="0" fontId="24" fillId="0" borderId="0">
      <alignment vertical="center"/>
    </xf>
    <xf numFmtId="0" fontId="7" fillId="38" borderId="0">
      <alignment vertical="center"/>
    </xf>
    <xf numFmtId="0" fontId="12" fillId="0" borderId="0">
      <alignment vertical="center"/>
    </xf>
    <xf numFmtId="42" fontId="0" fillId="0" borderId="0">
      <alignment vertical="center"/>
    </xf>
    <xf numFmtId="0" fontId="7" fillId="17" borderId="0">
      <alignment vertical="center"/>
    </xf>
    <xf numFmtId="43" fontId="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16" borderId="0">
      <alignment vertical="center"/>
    </xf>
    <xf numFmtId="0" fontId="13" fillId="0" borderId="0">
      <alignment vertical="center"/>
    </xf>
    <xf numFmtId="0" fontId="6" fillId="12" borderId="0">
      <alignment vertical="center"/>
    </xf>
    <xf numFmtId="0" fontId="0" fillId="34" borderId="11">
      <alignment vertical="center"/>
    </xf>
    <xf numFmtId="0" fontId="7" fillId="28" borderId="0">
      <alignment vertical="center"/>
    </xf>
    <xf numFmtId="0" fontId="6" fillId="15" borderId="0">
      <alignment vertical="center"/>
    </xf>
    <xf numFmtId="0" fontId="7" fillId="14" borderId="0">
      <alignment vertical="center"/>
    </xf>
    <xf numFmtId="0" fontId="15" fillId="0" borderId="0">
      <alignment vertical="center"/>
    </xf>
    <xf numFmtId="41" fontId="0" fillId="0" borderId="0">
      <alignment vertical="center"/>
    </xf>
    <xf numFmtId="0" fontId="8" fillId="0" borderId="6">
      <alignment vertical="center"/>
    </xf>
    <xf numFmtId="0" fontId="7" fillId="13" borderId="0">
      <alignment vertical="center"/>
    </xf>
    <xf numFmtId="0" fontId="12" fillId="0" borderId="10">
      <alignment vertical="center"/>
    </xf>
    <xf numFmtId="0" fontId="6" fillId="31" borderId="0">
      <alignment vertical="center"/>
    </xf>
    <xf numFmtId="0" fontId="7" fillId="18" borderId="0">
      <alignment vertical="center"/>
    </xf>
    <xf numFmtId="0" fontId="22" fillId="0" borderId="13">
      <alignment vertical="center"/>
    </xf>
  </cellStyleXfs>
  <cellXfs count="87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6" fontId="1" fillId="0" borderId="0" xfId="0" applyNumberFormat="1" applyFont="1" applyAlignment="1">
      <alignment horizontal="left" vertical="center" wrapText="1"/>
    </xf>
    <xf numFmtId="3" fontId="1" fillId="0" borderId="0" xfId="0" applyNumberFormat="1" applyFont="1" applyAlignment="1">
      <alignment horizontal="left" vertical="center" wrapText="1"/>
    </xf>
    <xf numFmtId="3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3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4" totalsRowShown="0">
  <autoFilter ref="A6:C44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59" totalsRowShown="0">
  <autoFilter ref="A40:C59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32:C97">
  <autoFilter ref="A32:C9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100:C106">
  <autoFilter ref="A100:C106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32:C38">
  <autoFilter ref="A32:C3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41:C47">
  <autoFilter ref="A41:C4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workbookViewId="0">
      <selection activeCell="D14" sqref="D14"/>
    </sheetView>
  </sheetViews>
  <sheetFormatPr defaultColWidth="30.6923076923077" defaultRowHeight="25" customHeight="1" outlineLevelCol="2"/>
  <cols>
    <col min="1" max="1" width="30.6923076923077" style="74" customWidth="1"/>
    <col min="2" max="2" width="30.6923076923077" style="75" customWidth="1"/>
    <col min="3" max="3" width="30.6923076923077" style="76" customWidth="1"/>
    <col min="4" max="16384" width="30.6923076923077" style="75" customWidth="1"/>
  </cols>
  <sheetData>
    <row r="1" customHeight="1" spans="1:3">
      <c r="A1" s="77" t="s">
        <v>0</v>
      </c>
      <c r="B1" s="78">
        <v>100000</v>
      </c>
      <c r="C1" s="75"/>
    </row>
    <row r="2" customHeight="1" spans="1:3">
      <c r="A2" s="77" t="s">
        <v>1</v>
      </c>
      <c r="B2" s="79">
        <f>SUM(成本明细[金额(元)])</f>
        <v>99761.38</v>
      </c>
      <c r="C2" s="75"/>
    </row>
    <row r="3" customHeight="1" spans="1:3">
      <c r="A3" s="77" t="s">
        <v>2</v>
      </c>
      <c r="B3" s="79">
        <f>B1-B2</f>
        <v>238.619999999981</v>
      </c>
      <c r="C3" s="75"/>
    </row>
    <row r="5" customHeight="1" spans="2:3">
      <c r="B5" s="80"/>
      <c r="C5" s="79"/>
    </row>
    <row r="6" customHeight="1" spans="1:3">
      <c r="A6" s="77" t="s">
        <v>3</v>
      </c>
      <c r="B6" s="81" t="s">
        <v>4</v>
      </c>
      <c r="C6" s="82" t="s">
        <v>5</v>
      </c>
    </row>
    <row r="7" customHeight="1" spans="1:3">
      <c r="A7" s="83">
        <v>10000</v>
      </c>
      <c r="B7" s="84" t="s">
        <v>6</v>
      </c>
      <c r="C7" s="82" t="s">
        <v>7</v>
      </c>
    </row>
    <row r="8" customHeight="1" spans="1:3">
      <c r="A8" s="83">
        <v>26000</v>
      </c>
      <c r="B8" s="84" t="s">
        <v>6</v>
      </c>
      <c r="C8" s="82" t="s">
        <v>8</v>
      </c>
    </row>
    <row r="9" customHeight="1" spans="1:3">
      <c r="A9" s="83">
        <v>6000</v>
      </c>
      <c r="B9" s="84" t="s">
        <v>9</v>
      </c>
      <c r="C9" s="82" t="s">
        <v>10</v>
      </c>
    </row>
    <row r="10" customHeight="1" spans="1:3">
      <c r="A10" s="83">
        <v>3000</v>
      </c>
      <c r="B10" s="84" t="s">
        <v>9</v>
      </c>
      <c r="C10" s="82" t="s">
        <v>11</v>
      </c>
    </row>
    <row r="11" customHeight="1" spans="1:3">
      <c r="A11" s="83">
        <v>2100</v>
      </c>
      <c r="B11" s="84" t="s">
        <v>9</v>
      </c>
      <c r="C11" s="82" t="s">
        <v>12</v>
      </c>
    </row>
    <row r="12" customHeight="1" spans="1:3">
      <c r="A12" s="83">
        <v>340</v>
      </c>
      <c r="B12" s="84" t="s">
        <v>9</v>
      </c>
      <c r="C12" s="82" t="s">
        <v>13</v>
      </c>
    </row>
    <row r="13" customHeight="1" spans="1:3">
      <c r="A13" s="83">
        <v>200</v>
      </c>
      <c r="B13" s="84" t="s">
        <v>14</v>
      </c>
      <c r="C13" s="82" t="s">
        <v>15</v>
      </c>
    </row>
    <row r="14" customHeight="1" spans="1:3">
      <c r="A14" s="83">
        <v>11000</v>
      </c>
      <c r="B14" s="84" t="s">
        <v>16</v>
      </c>
      <c r="C14" s="82" t="s">
        <v>17</v>
      </c>
    </row>
    <row r="15" customHeight="1" spans="1:3">
      <c r="A15" s="83">
        <v>5000</v>
      </c>
      <c r="B15" s="84" t="s">
        <v>9</v>
      </c>
      <c r="C15" s="82" t="s">
        <v>18</v>
      </c>
    </row>
    <row r="16" customHeight="1" spans="1:3">
      <c r="A16" s="83">
        <v>755</v>
      </c>
      <c r="B16" s="84" t="s">
        <v>16</v>
      </c>
      <c r="C16" s="82" t="s">
        <v>19</v>
      </c>
    </row>
    <row r="17" customHeight="1" spans="1:3">
      <c r="A17" s="83">
        <v>190</v>
      </c>
      <c r="B17" s="84" t="s">
        <v>9</v>
      </c>
      <c r="C17" s="82" t="s">
        <v>20</v>
      </c>
    </row>
    <row r="18" customHeight="1" spans="1:3">
      <c r="A18" s="83">
        <v>405.9</v>
      </c>
      <c r="B18" s="84" t="s">
        <v>16</v>
      </c>
      <c r="C18" s="82" t="s">
        <v>21</v>
      </c>
    </row>
    <row r="19" customHeight="1" spans="1:3">
      <c r="A19" s="83">
        <v>228</v>
      </c>
      <c r="B19" s="84" t="s">
        <v>16</v>
      </c>
      <c r="C19" s="82" t="s">
        <v>22</v>
      </c>
    </row>
    <row r="20" customHeight="1" spans="1:3">
      <c r="A20" s="83">
        <v>639.5</v>
      </c>
      <c r="B20" s="84" t="s">
        <v>16</v>
      </c>
      <c r="C20" s="82" t="s">
        <v>23</v>
      </c>
    </row>
    <row r="21" customHeight="1" spans="1:3">
      <c r="A21" s="83">
        <v>1259.1</v>
      </c>
      <c r="B21" s="84" t="s">
        <v>16</v>
      </c>
      <c r="C21" s="82" t="s">
        <v>24</v>
      </c>
    </row>
    <row r="22" customHeight="1" spans="1:3">
      <c r="A22" s="83">
        <v>1000</v>
      </c>
      <c r="B22" s="84" t="s">
        <v>25</v>
      </c>
      <c r="C22" s="85" t="s">
        <v>26</v>
      </c>
    </row>
    <row r="23" customHeight="1" spans="1:3">
      <c r="A23" s="83">
        <v>13260</v>
      </c>
      <c r="B23" s="84" t="s">
        <v>25</v>
      </c>
      <c r="C23" s="82" t="s">
        <v>27</v>
      </c>
    </row>
    <row r="24" customHeight="1" spans="1:3">
      <c r="A24" s="83">
        <v>47.97</v>
      </c>
      <c r="B24" s="84" t="s">
        <v>14</v>
      </c>
      <c r="C24" s="82" t="s">
        <v>28</v>
      </c>
    </row>
    <row r="25" customHeight="1" spans="1:3">
      <c r="A25" s="83">
        <v>276.1</v>
      </c>
      <c r="B25" s="84" t="s">
        <v>14</v>
      </c>
      <c r="C25" s="82" t="s">
        <v>29</v>
      </c>
    </row>
    <row r="26" customHeight="1" spans="1:3">
      <c r="A26" s="83">
        <v>6000</v>
      </c>
      <c r="B26" s="84" t="s">
        <v>9</v>
      </c>
      <c r="C26" s="85" t="s">
        <v>30</v>
      </c>
    </row>
    <row r="27" customHeight="1" spans="1:3">
      <c r="A27" s="83">
        <v>640</v>
      </c>
      <c r="B27" s="84" t="s">
        <v>9</v>
      </c>
      <c r="C27" s="85" t="s">
        <v>31</v>
      </c>
    </row>
    <row r="28" customHeight="1" spans="1:3">
      <c r="A28" s="83">
        <v>500</v>
      </c>
      <c r="B28" s="84" t="s">
        <v>32</v>
      </c>
      <c r="C28" s="85" t="s">
        <v>33</v>
      </c>
    </row>
    <row r="29" customHeight="1" spans="1:3">
      <c r="A29" s="83">
        <v>600</v>
      </c>
      <c r="B29" s="84" t="s">
        <v>32</v>
      </c>
      <c r="C29" s="85" t="s">
        <v>34</v>
      </c>
    </row>
    <row r="30" customHeight="1" spans="1:3">
      <c r="A30" s="83">
        <v>938</v>
      </c>
      <c r="B30" s="84" t="s">
        <v>25</v>
      </c>
      <c r="C30" s="85" t="s">
        <v>35</v>
      </c>
    </row>
    <row r="31" customHeight="1" spans="1:3">
      <c r="A31" s="83">
        <v>1000</v>
      </c>
      <c r="B31" s="84" t="s">
        <v>25</v>
      </c>
      <c r="C31" s="85" t="s">
        <v>26</v>
      </c>
    </row>
    <row r="32" customHeight="1" spans="1:3">
      <c r="A32" s="83">
        <v>60.5</v>
      </c>
      <c r="B32" s="84" t="s">
        <v>25</v>
      </c>
      <c r="C32" s="85" t="s">
        <v>36</v>
      </c>
    </row>
    <row r="33" customHeight="1" spans="1:3">
      <c r="A33" s="83">
        <v>162.41</v>
      </c>
      <c r="B33" s="84" t="s">
        <v>37</v>
      </c>
      <c r="C33" s="85" t="s">
        <v>38</v>
      </c>
    </row>
    <row r="34" customHeight="1" spans="1:3">
      <c r="A34" s="83">
        <v>42.16</v>
      </c>
      <c r="B34" s="84" t="s">
        <v>25</v>
      </c>
      <c r="C34" s="85" t="s">
        <v>35</v>
      </c>
    </row>
    <row r="35" customHeight="1" spans="1:3">
      <c r="A35" s="83">
        <v>1000</v>
      </c>
      <c r="B35" s="84" t="s">
        <v>25</v>
      </c>
      <c r="C35" s="85" t="s">
        <v>26</v>
      </c>
    </row>
    <row r="36" customHeight="1" spans="1:3">
      <c r="A36" s="86">
        <v>500</v>
      </c>
      <c r="B36" s="84" t="s">
        <v>9</v>
      </c>
      <c r="C36" s="85" t="s">
        <v>39</v>
      </c>
    </row>
    <row r="37" customHeight="1" spans="1:3">
      <c r="A37" s="86">
        <v>1300</v>
      </c>
      <c r="B37" s="84" t="s">
        <v>25</v>
      </c>
      <c r="C37" s="85" t="s">
        <v>40</v>
      </c>
    </row>
    <row r="38" customHeight="1" spans="1:3">
      <c r="A38" s="86">
        <v>253.84</v>
      </c>
      <c r="B38" s="84" t="s">
        <v>25</v>
      </c>
      <c r="C38" s="85" t="s">
        <v>36</v>
      </c>
    </row>
    <row r="39" customHeight="1" spans="1:3">
      <c r="A39" s="86">
        <v>1000</v>
      </c>
      <c r="B39" s="84" t="s">
        <v>25</v>
      </c>
      <c r="C39" s="85" t="s">
        <v>26</v>
      </c>
    </row>
    <row r="40" customHeight="1" spans="1:3">
      <c r="A40" s="86">
        <v>355.3</v>
      </c>
      <c r="B40" s="84" t="s">
        <v>25</v>
      </c>
      <c r="C40" s="85" t="s">
        <v>36</v>
      </c>
    </row>
    <row r="41" customHeight="1" spans="1:3">
      <c r="A41" s="86">
        <v>3000</v>
      </c>
      <c r="B41" s="84" t="s">
        <v>25</v>
      </c>
      <c r="C41" s="85" t="s">
        <v>41</v>
      </c>
    </row>
    <row r="42" customHeight="1" spans="1:3">
      <c r="A42" s="86">
        <v>174</v>
      </c>
      <c r="B42" s="84" t="s">
        <v>25</v>
      </c>
      <c r="C42" s="85" t="s">
        <v>36</v>
      </c>
    </row>
    <row r="43" customHeight="1" spans="1:3">
      <c r="A43" s="86">
        <v>33.6</v>
      </c>
      <c r="B43" s="84" t="s">
        <v>14</v>
      </c>
      <c r="C43" s="85" t="s">
        <v>42</v>
      </c>
    </row>
    <row r="44" customHeight="1" spans="1:3">
      <c r="A44" s="86">
        <v>500</v>
      </c>
      <c r="B44" s="84" t="s">
        <v>25</v>
      </c>
      <c r="C44" s="85" t="s">
        <v>26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9"/>
  <sheetViews>
    <sheetView tabSelected="1" zoomScale="112" zoomScaleNormal="112" workbookViewId="0">
      <selection activeCell="D9" sqref="D9"/>
    </sheetView>
  </sheetViews>
  <sheetFormatPr defaultColWidth="30.6923076923077" defaultRowHeight="25" customHeight="1" outlineLevelCol="2"/>
  <cols>
    <col min="1" max="2" width="30.6923076923077" style="40" customWidth="1"/>
    <col min="3" max="3" width="30.6923076923077" style="41" customWidth="1"/>
    <col min="4" max="16384" width="30.6923076923077" style="40" customWidth="1"/>
  </cols>
  <sheetData>
    <row r="1" s="4" customFormat="1" customHeight="1" spans="1:3">
      <c r="A1" s="42" t="s">
        <v>43</v>
      </c>
      <c r="C1" s="43"/>
    </row>
    <row r="2" customHeight="1" spans="1:3">
      <c r="A2" s="44" t="s">
        <v>44</v>
      </c>
      <c r="B2" s="44" t="s">
        <v>45</v>
      </c>
      <c r="C2" s="45" t="s">
        <v>46</v>
      </c>
    </row>
    <row r="3" customHeight="1" spans="1:3">
      <c r="A3" s="46" t="s">
        <v>47</v>
      </c>
      <c r="B3" s="47">
        <f>SUM(收入明细2602[收入明细])</f>
        <v>42435.74</v>
      </c>
      <c r="C3" s="46" t="s">
        <v>48</v>
      </c>
    </row>
    <row r="4" customHeight="1" spans="1:3">
      <c r="A4" s="48" t="s">
        <v>49</v>
      </c>
      <c r="B4" s="49">
        <f>SUM(支出明细2602[支出明细])</f>
        <v>37512.81</v>
      </c>
      <c r="C4" s="48" t="s">
        <v>48</v>
      </c>
    </row>
    <row r="5" customHeight="1" spans="1:3">
      <c r="A5" s="50" t="s">
        <v>50</v>
      </c>
      <c r="B5" s="51">
        <f>$B$3-SUMIF(支出明细2602[分类],"食材",支出明细2602[支出明细])</f>
        <v>18551.94</v>
      </c>
      <c r="C5" s="50" t="s">
        <v>48</v>
      </c>
    </row>
    <row r="6" customHeight="1" spans="1:3">
      <c r="A6" s="50" t="s">
        <v>51</v>
      </c>
      <c r="B6" s="51">
        <f>$B$3-$B$4</f>
        <v>4922.92999999999</v>
      </c>
      <c r="C6" s="50" t="s">
        <v>48</v>
      </c>
    </row>
    <row r="7" customHeight="1" spans="1:3">
      <c r="A7" s="50" t="s">
        <v>52</v>
      </c>
      <c r="B7" s="52">
        <f>$B$5/$B$3</f>
        <v>0.437177247292023</v>
      </c>
      <c r="C7" s="52" t="s">
        <v>53</v>
      </c>
    </row>
    <row r="8" customHeight="1" spans="1:3">
      <c r="A8" s="50" t="s">
        <v>54</v>
      </c>
      <c r="B8" s="52">
        <f>$B$6/$B$3</f>
        <v>0.116009052746576</v>
      </c>
      <c r="C8" s="52" t="s">
        <v>53</v>
      </c>
    </row>
    <row r="11" customHeight="1" spans="1:1">
      <c r="A11" s="53" t="s">
        <v>55</v>
      </c>
    </row>
    <row r="12" customHeight="1" spans="1:3">
      <c r="A12" s="54" t="s">
        <v>56</v>
      </c>
      <c r="B12" s="54" t="s">
        <v>57</v>
      </c>
      <c r="C12" s="54" t="s">
        <v>58</v>
      </c>
    </row>
    <row r="13" customHeight="1" spans="1:3">
      <c r="A13" s="50" t="s">
        <v>59</v>
      </c>
      <c r="B13" s="51">
        <f>SUMIF(收入明细2602[分类],"淘宝外卖",收入明细2602[收入明细])</f>
        <v>19919.1</v>
      </c>
      <c r="C13" s="52">
        <f>$B$13/$B$3</f>
        <v>0.469394430260907</v>
      </c>
    </row>
    <row r="14" customHeight="1" spans="1:3">
      <c r="A14" s="55" t="s">
        <v>60</v>
      </c>
      <c r="B14" s="56">
        <f>SUMIF(收入明细2602[分类],"美团外卖",收入明细2602[收入明细])</f>
        <v>13970.88</v>
      </c>
      <c r="C14" s="57">
        <f>$B$14/$B$3</f>
        <v>0.329224375491037</v>
      </c>
    </row>
    <row r="15" customHeight="1" spans="1:3">
      <c r="A15" s="50" t="s">
        <v>61</v>
      </c>
      <c r="B15" s="51">
        <f>SUMIF(收入明细2602[分类],"微信堂食",收入明细2602[收入明细])</f>
        <v>6683.96</v>
      </c>
      <c r="C15" s="52">
        <f>$B$15/$B$3</f>
        <v>0.157507798850686</v>
      </c>
    </row>
    <row r="16" customHeight="1" spans="1:3">
      <c r="A16" s="55" t="s">
        <v>62</v>
      </c>
      <c r="B16" s="56">
        <f>SUMIF(收入明细2602[分类],"支付宝堂食",收入明细2602[收入明细])</f>
        <v>1861.8</v>
      </c>
      <c r="C16" s="57">
        <f>$B$16/$B$3</f>
        <v>0.0438733953973702</v>
      </c>
    </row>
    <row r="17" customHeight="1" spans="1:3">
      <c r="A17" s="50" t="s">
        <v>63</v>
      </c>
      <c r="B17" s="51">
        <f>SUMIF(收入明细2602[分类],"京东外卖",收入明细2602[收入明细])</f>
        <v>0</v>
      </c>
      <c r="C17" s="52">
        <f>$B$17/$B$3</f>
        <v>0</v>
      </c>
    </row>
    <row r="18" customHeight="1" spans="1:3">
      <c r="A18" s="58" t="s">
        <v>64</v>
      </c>
      <c r="B18" s="59">
        <f>SUM(收入明细2602[收入明细])</f>
        <v>42435.74</v>
      </c>
      <c r="C18" s="60">
        <f>SUM($C$13:$C$17)</f>
        <v>1</v>
      </c>
    </row>
    <row r="21" customHeight="1" spans="1:1">
      <c r="A21" s="61" t="s">
        <v>65</v>
      </c>
    </row>
    <row r="22" customHeight="1" spans="1:3">
      <c r="A22" s="62" t="s">
        <v>66</v>
      </c>
      <c r="B22" s="62" t="s">
        <v>57</v>
      </c>
      <c r="C22" s="62" t="s">
        <v>58</v>
      </c>
    </row>
    <row r="23" customHeight="1" spans="1:3">
      <c r="A23" s="55" t="s">
        <v>25</v>
      </c>
      <c r="B23" s="56">
        <f>SUMIF(支出明细2602[分类],"食材",支出明细2602[支出明细])</f>
        <v>23883.8</v>
      </c>
      <c r="C23" s="57">
        <f>$B$23/$B$4</f>
        <v>0.636683842132861</v>
      </c>
    </row>
    <row r="24" customHeight="1" spans="1:3">
      <c r="A24" s="50" t="s">
        <v>67</v>
      </c>
      <c r="B24" s="51">
        <f>SUMIF(支出明细2602[分类],"工资",支出明细2602[支出明细])</f>
        <v>8500</v>
      </c>
      <c r="C24" s="52">
        <f>$B$24/$B$4</f>
        <v>0.226589263774161</v>
      </c>
    </row>
    <row r="25" customHeight="1" spans="1:3">
      <c r="A25" s="55" t="s">
        <v>6</v>
      </c>
      <c r="B25" s="56">
        <f>SUMIF(支出明细2602[分类],"房租",支出明细2602[支出明细])</f>
        <v>4333</v>
      </c>
      <c r="C25" s="57">
        <f>$B$25/$B$4</f>
        <v>0.115507209403934</v>
      </c>
    </row>
    <row r="26" customHeight="1" spans="1:3">
      <c r="A26" s="50" t="s">
        <v>32</v>
      </c>
      <c r="B26" s="51">
        <f>SUMIF(支出明细2602[分类],"推广",支出明细2602[支出明细])</f>
        <v>600</v>
      </c>
      <c r="C26" s="52">
        <f>$B$26/$B$4</f>
        <v>0.0159945362664114</v>
      </c>
    </row>
    <row r="27" customHeight="1" spans="1:3">
      <c r="A27" s="55" t="s">
        <v>37</v>
      </c>
      <c r="B27" s="56">
        <f>SUMIF(支出明细2602[分类],"水电",支出明细2602[支出明细])</f>
        <v>162.41</v>
      </c>
      <c r="C27" s="57">
        <f>$B$27/$B$4</f>
        <v>0.00432945439171312</v>
      </c>
    </row>
    <row r="28" customHeight="1" spans="1:3">
      <c r="A28" s="50" t="s">
        <v>14</v>
      </c>
      <c r="B28" s="51">
        <f>SUMIF(支出明细2602[分类],"其他",支出明细2602[支出明细])</f>
        <v>33.6</v>
      </c>
      <c r="C28" s="52">
        <f>$B$28/$B$4</f>
        <v>0.000895694030919038</v>
      </c>
    </row>
    <row r="29" customHeight="1" spans="1:3">
      <c r="A29" s="63" t="s">
        <v>64</v>
      </c>
      <c r="B29" s="64">
        <f>SUM(支出明细2602[支出明细])</f>
        <v>37512.81</v>
      </c>
      <c r="C29" s="65">
        <f>SUM($C$23:$C$28)</f>
        <v>1</v>
      </c>
    </row>
    <row r="32" customHeight="1" spans="1:3">
      <c r="A32" s="66" t="s">
        <v>68</v>
      </c>
      <c r="B32" s="67" t="s">
        <v>4</v>
      </c>
      <c r="C32" s="68" t="s">
        <v>5</v>
      </c>
    </row>
    <row r="33" customHeight="1" spans="1:3">
      <c r="A33" s="69">
        <v>6683.96</v>
      </c>
      <c r="B33" s="67" t="s">
        <v>61</v>
      </c>
      <c r="C33" s="70"/>
    </row>
    <row r="34" customHeight="1" spans="1:3">
      <c r="A34" s="69">
        <v>1861.8</v>
      </c>
      <c r="B34" s="67" t="s">
        <v>62</v>
      </c>
      <c r="C34" s="70"/>
    </row>
    <row r="35" customHeight="1" spans="1:3">
      <c r="A35" s="69">
        <v>0</v>
      </c>
      <c r="B35" s="67" t="s">
        <v>63</v>
      </c>
      <c r="C35" s="71" t="s">
        <v>69</v>
      </c>
    </row>
    <row r="36" customHeight="1" spans="1:3">
      <c r="A36" s="69">
        <v>19919.1</v>
      </c>
      <c r="B36" s="67" t="s">
        <v>59</v>
      </c>
      <c r="C36" s="70"/>
    </row>
    <row r="37" customHeight="1" spans="1:3">
      <c r="A37" s="69">
        <v>13970.88</v>
      </c>
      <c r="B37" s="67" t="s">
        <v>60</v>
      </c>
      <c r="C37" s="70"/>
    </row>
    <row r="40" customHeight="1" spans="1:3">
      <c r="A40" s="72" t="s">
        <v>70</v>
      </c>
      <c r="B40" s="68" t="s">
        <v>4</v>
      </c>
      <c r="C40" s="71" t="s">
        <v>5</v>
      </c>
    </row>
    <row r="41" customHeight="1" spans="1:3">
      <c r="A41" s="73">
        <v>4333</v>
      </c>
      <c r="B41" s="68" t="s">
        <v>6</v>
      </c>
      <c r="C41" s="71" t="s">
        <v>71</v>
      </c>
    </row>
    <row r="42" customHeight="1" spans="1:3">
      <c r="A42" s="73">
        <v>8500</v>
      </c>
      <c r="B42" s="68" t="s">
        <v>67</v>
      </c>
      <c r="C42" s="71" t="s">
        <v>72</v>
      </c>
    </row>
    <row r="43" customHeight="1" spans="1:3">
      <c r="A43" s="73">
        <v>1000</v>
      </c>
      <c r="B43" s="68" t="s">
        <v>25</v>
      </c>
      <c r="C43" s="71" t="s">
        <v>26</v>
      </c>
    </row>
    <row r="44" customHeight="1" spans="1:3">
      <c r="A44" s="73">
        <v>13260</v>
      </c>
      <c r="B44" s="68" t="s">
        <v>25</v>
      </c>
      <c r="C44" s="71" t="s">
        <v>27</v>
      </c>
    </row>
    <row r="45" customHeight="1" spans="1:3">
      <c r="A45" s="73">
        <v>600</v>
      </c>
      <c r="B45" s="68" t="s">
        <v>32</v>
      </c>
      <c r="C45" s="71" t="s">
        <v>34</v>
      </c>
    </row>
    <row r="46" customHeight="1" spans="1:3">
      <c r="A46" s="73">
        <v>938</v>
      </c>
      <c r="B46" s="68" t="s">
        <v>25</v>
      </c>
      <c r="C46" s="71" t="s">
        <v>35</v>
      </c>
    </row>
    <row r="47" customHeight="1" spans="1:3">
      <c r="A47" s="73">
        <v>1000</v>
      </c>
      <c r="B47" s="68" t="s">
        <v>25</v>
      </c>
      <c r="C47" s="71" t="s">
        <v>26</v>
      </c>
    </row>
    <row r="48" customHeight="1" spans="1:3">
      <c r="A48" s="73">
        <v>60.5</v>
      </c>
      <c r="B48" s="68" t="s">
        <v>25</v>
      </c>
      <c r="C48" s="71" t="s">
        <v>36</v>
      </c>
    </row>
    <row r="49" customHeight="1" spans="1:3">
      <c r="A49" s="73">
        <v>162.41</v>
      </c>
      <c r="B49" s="68" t="s">
        <v>37</v>
      </c>
      <c r="C49" s="71" t="s">
        <v>38</v>
      </c>
    </row>
    <row r="50" customHeight="1" spans="1:3">
      <c r="A50" s="73">
        <v>42.16</v>
      </c>
      <c r="B50" s="68" t="s">
        <v>25</v>
      </c>
      <c r="C50" s="71" t="s">
        <v>35</v>
      </c>
    </row>
    <row r="51" customHeight="1" spans="1:3">
      <c r="A51" s="73">
        <v>1000</v>
      </c>
      <c r="B51" s="68" t="s">
        <v>25</v>
      </c>
      <c r="C51" s="71" t="s">
        <v>26</v>
      </c>
    </row>
    <row r="52" customHeight="1" spans="1:3">
      <c r="A52" s="72">
        <v>1300</v>
      </c>
      <c r="B52" s="68" t="s">
        <v>25</v>
      </c>
      <c r="C52" s="71" t="s">
        <v>73</v>
      </c>
    </row>
    <row r="53" customHeight="1" spans="1:3">
      <c r="A53" s="72">
        <v>253.84</v>
      </c>
      <c r="B53" s="68" t="s">
        <v>25</v>
      </c>
      <c r="C53" s="71" t="s">
        <v>36</v>
      </c>
    </row>
    <row r="54" customHeight="1" spans="1:3">
      <c r="A54" s="72">
        <v>1000</v>
      </c>
      <c r="B54" s="68" t="s">
        <v>25</v>
      </c>
      <c r="C54" s="71" t="s">
        <v>26</v>
      </c>
    </row>
    <row r="55" customHeight="1" spans="1:3">
      <c r="A55" s="72">
        <v>355.3</v>
      </c>
      <c r="B55" s="68" t="s">
        <v>25</v>
      </c>
      <c r="C55" s="71" t="s">
        <v>36</v>
      </c>
    </row>
    <row r="56" customHeight="1" spans="1:3">
      <c r="A56" s="72">
        <v>3000</v>
      </c>
      <c r="B56" s="68" t="s">
        <v>25</v>
      </c>
      <c r="C56" s="71" t="s">
        <v>41</v>
      </c>
    </row>
    <row r="57" customHeight="1" spans="1:3">
      <c r="A57" s="72">
        <v>174</v>
      </c>
      <c r="B57" s="68" t="s">
        <v>25</v>
      </c>
      <c r="C57" s="71" t="s">
        <v>36</v>
      </c>
    </row>
    <row r="58" customHeight="1" spans="1:3">
      <c r="A58" s="72">
        <v>33.6</v>
      </c>
      <c r="B58" s="68" t="s">
        <v>14</v>
      </c>
      <c r="C58" s="71" t="s">
        <v>42</v>
      </c>
    </row>
    <row r="59" customHeight="1" spans="1:3">
      <c r="A59" s="72">
        <v>500</v>
      </c>
      <c r="B59" s="68" t="s">
        <v>25</v>
      </c>
      <c r="C59" s="71" t="s">
        <v>26</v>
      </c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5:B59">
      <formula1>"房租,装修,其他,设备,食材,推广,水电"</formula1>
    </dataValidation>
    <dataValidation type="list" allowBlank="1" showInputMessage="1" showErrorMessage="1" sqref="B41:B5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10"/>
  <sheetViews>
    <sheetView workbookViewId="0">
      <selection activeCell="D6" sqref="D6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SUM(收入明细2603[收入明细])</f>
        <v>73829.05</v>
      </c>
      <c r="C3" s="6" t="s">
        <v>48</v>
      </c>
    </row>
    <row r="4" customHeight="1" spans="1:3">
      <c r="A4" s="8" t="s">
        <v>49</v>
      </c>
      <c r="B4" s="9">
        <f>SUM(支出明细2603[支出明细])</f>
        <v>69040.45</v>
      </c>
      <c r="C4" s="8" t="s">
        <v>48</v>
      </c>
    </row>
    <row r="5" customHeight="1" spans="1:3">
      <c r="A5" s="10" t="s">
        <v>50</v>
      </c>
      <c r="B5" s="11">
        <f>$B$3-SUMIF(支出明细2603[分类],"食材",支出明细2603[支出明细])</f>
        <v>30354.24</v>
      </c>
      <c r="C5" s="10" t="s">
        <v>48</v>
      </c>
    </row>
    <row r="6" customHeight="1" spans="1:3">
      <c r="A6" s="10" t="s">
        <v>51</v>
      </c>
      <c r="B6" s="11">
        <f>$B$3-$B$4</f>
        <v>4788.59999999999</v>
      </c>
      <c r="C6" s="10" t="s">
        <v>48</v>
      </c>
    </row>
    <row r="7" customHeight="1" spans="1:3">
      <c r="A7" s="10" t="s">
        <v>52</v>
      </c>
      <c r="B7" s="12">
        <f>$B$5/$B$3</f>
        <v>0.41114222653549</v>
      </c>
      <c r="C7" s="10" t="s">
        <v>53</v>
      </c>
    </row>
    <row r="8" customHeight="1" spans="1:3">
      <c r="A8" s="10" t="s">
        <v>54</v>
      </c>
      <c r="B8" s="12">
        <f>$B$6/$B$3</f>
        <v>0.0648606476718852</v>
      </c>
      <c r="C8" s="10" t="s">
        <v>53</v>
      </c>
    </row>
    <row r="9" customHeight="1" spans="1:3">
      <c r="A9" s="4"/>
      <c r="B9" s="4"/>
      <c r="C9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60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61</v>
      </c>
      <c r="B15" s="11">
        <f>SUMIF(收入明细2603[分类],"微信堂食",收入明细2603[收入明细])</f>
        <v>0</v>
      </c>
      <c r="C15" s="12">
        <f>$B$15/$B$3</f>
        <v>0</v>
      </c>
    </row>
    <row r="16" customHeight="1" spans="1:3">
      <c r="A16" s="10" t="s">
        <v>62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63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64</v>
      </c>
      <c r="B18" s="17">
        <f>SUM(B13:B17)</f>
        <v>64981.39</v>
      </c>
      <c r="C18" s="18">
        <f>SUM($C$13:$C$17)</f>
        <v>0.880160180850221</v>
      </c>
    </row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0.629700559599481</v>
      </c>
    </row>
    <row r="24" customHeight="1" spans="1:3">
      <c r="A24" s="10" t="s">
        <v>67</v>
      </c>
      <c r="B24" s="11">
        <f>SUMIF(支出明细2603[分类],"工资",支出明细2603[支出明细])</f>
        <v>15000</v>
      </c>
      <c r="C24" s="12">
        <f>$B$24/$B$4</f>
        <v>0.217263937300525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0.0627603093548782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0.0123116231136964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0.0477980662061154</v>
      </c>
    </row>
    <row r="28" customHeight="1" spans="1:3">
      <c r="A28" s="10" t="s">
        <v>14</v>
      </c>
      <c r="B28" s="11">
        <f>SUMIF(支出明细2603[分类],"其他",支出明细2603[支出明细])</f>
        <v>2082.64</v>
      </c>
      <c r="C28" s="12">
        <f>$B$28/$B$4</f>
        <v>0.0301655044253043</v>
      </c>
    </row>
    <row r="29" customHeight="1" spans="1:3">
      <c r="A29" s="23" t="s">
        <v>64</v>
      </c>
      <c r="B29" s="24">
        <f>SUM(B23:B28)</f>
        <v>69040.45</v>
      </c>
      <c r="C29" s="25">
        <f>SUM($C$23:$C$28)</f>
        <v>1</v>
      </c>
    </row>
    <row r="32" customHeight="1" spans="1:3">
      <c r="A32" s="36" t="s">
        <v>70</v>
      </c>
      <c r="B32" s="27" t="s">
        <v>4</v>
      </c>
      <c r="C32" s="27" t="s">
        <v>5</v>
      </c>
    </row>
    <row r="33" customHeight="1" spans="1:3">
      <c r="A33" s="28">
        <v>4333</v>
      </c>
      <c r="B33" s="27" t="s">
        <v>6</v>
      </c>
      <c r="C33" s="27" t="s">
        <v>71</v>
      </c>
    </row>
    <row r="34" customHeight="1" spans="1:3">
      <c r="A34" s="28">
        <v>15000</v>
      </c>
      <c r="B34" s="27" t="s">
        <v>67</v>
      </c>
      <c r="C34" s="27" t="s">
        <v>74</v>
      </c>
    </row>
    <row r="35" customHeight="1" spans="1:3">
      <c r="A35" s="28">
        <v>3000</v>
      </c>
      <c r="B35" s="27" t="s">
        <v>37</v>
      </c>
      <c r="C35" s="27" t="s">
        <v>74</v>
      </c>
    </row>
    <row r="36" customHeight="1" spans="1:3">
      <c r="A36" s="28">
        <v>4140</v>
      </c>
      <c r="B36" s="27" t="s">
        <v>25</v>
      </c>
      <c r="C36" s="27" t="s">
        <v>75</v>
      </c>
    </row>
    <row r="37" customHeight="1" spans="1:3">
      <c r="A37" s="28">
        <v>7866</v>
      </c>
      <c r="B37" s="27" t="s">
        <v>25</v>
      </c>
      <c r="C37" s="27" t="s">
        <v>76</v>
      </c>
    </row>
    <row r="38" customHeight="1" spans="1:3">
      <c r="A38" s="28">
        <v>28.64</v>
      </c>
      <c r="B38" s="27" t="s">
        <v>14</v>
      </c>
      <c r="C38" s="27" t="s">
        <v>77</v>
      </c>
    </row>
    <row r="39" customHeight="1" spans="1:3">
      <c r="A39" s="28">
        <v>44.48</v>
      </c>
      <c r="B39" s="27" t="s">
        <v>25</v>
      </c>
      <c r="C39" s="27" t="s">
        <v>36</v>
      </c>
    </row>
    <row r="40" customHeight="1" spans="1:3">
      <c r="A40" s="28">
        <v>3000</v>
      </c>
      <c r="B40" s="27" t="s">
        <v>25</v>
      </c>
      <c r="C40" s="27" t="s">
        <v>26</v>
      </c>
    </row>
    <row r="41" customHeight="1" spans="1:3">
      <c r="A41" s="28">
        <v>23</v>
      </c>
      <c r="B41" s="27" t="s">
        <v>25</v>
      </c>
      <c r="C41" s="27" t="s">
        <v>78</v>
      </c>
    </row>
    <row r="42" customHeight="1" spans="1:3">
      <c r="A42" s="28">
        <v>468</v>
      </c>
      <c r="B42" s="27" t="s">
        <v>25</v>
      </c>
      <c r="C42" s="27" t="s">
        <v>79</v>
      </c>
    </row>
    <row r="43" customHeight="1" spans="1:3">
      <c r="A43" s="28">
        <v>385</v>
      </c>
      <c r="B43" s="27" t="s">
        <v>25</v>
      </c>
      <c r="C43" s="27" t="s">
        <v>80</v>
      </c>
    </row>
    <row r="44" customHeight="1" spans="1:3">
      <c r="A44" s="28">
        <v>295</v>
      </c>
      <c r="B44" s="27" t="s">
        <v>25</v>
      </c>
      <c r="C44" s="27" t="s">
        <v>81</v>
      </c>
    </row>
    <row r="45" customHeight="1" spans="1:3">
      <c r="A45" s="28">
        <v>718</v>
      </c>
      <c r="B45" s="27" t="s">
        <v>25</v>
      </c>
      <c r="C45" s="27" t="s">
        <v>82</v>
      </c>
    </row>
    <row r="46" customHeight="1" spans="1:3">
      <c r="A46" s="28">
        <v>57.6</v>
      </c>
      <c r="B46" s="27" t="s">
        <v>25</v>
      </c>
      <c r="C46" s="27" t="s">
        <v>83</v>
      </c>
    </row>
    <row r="47" customHeight="1" spans="1:3">
      <c r="A47" s="28">
        <v>302.5</v>
      </c>
      <c r="B47" s="27" t="s">
        <v>25</v>
      </c>
      <c r="C47" s="27" t="s">
        <v>84</v>
      </c>
    </row>
    <row r="48" customHeight="1" spans="1:3">
      <c r="A48" s="28">
        <v>400</v>
      </c>
      <c r="B48" s="27" t="s">
        <v>32</v>
      </c>
      <c r="C48" s="27" t="s">
        <v>85</v>
      </c>
    </row>
    <row r="49" customHeight="1" spans="1:3">
      <c r="A49" s="26">
        <v>225</v>
      </c>
      <c r="B49" s="27" t="s">
        <v>25</v>
      </c>
      <c r="C49" s="27" t="s">
        <v>86</v>
      </c>
    </row>
    <row r="50" customHeight="1" spans="1:3">
      <c r="A50" s="26">
        <v>350</v>
      </c>
      <c r="B50" s="27" t="s">
        <v>25</v>
      </c>
      <c r="C50" s="27" t="s">
        <v>87</v>
      </c>
    </row>
    <row r="51" customHeight="1" spans="1:3">
      <c r="A51" s="26">
        <v>112</v>
      </c>
      <c r="B51" s="27" t="s">
        <v>25</v>
      </c>
      <c r="C51" s="27" t="s">
        <v>88</v>
      </c>
    </row>
    <row r="52" customHeight="1" spans="1:3">
      <c r="A52" s="26">
        <v>198</v>
      </c>
      <c r="B52" s="27" t="s">
        <v>25</v>
      </c>
      <c r="C52" s="27" t="s">
        <v>89</v>
      </c>
    </row>
    <row r="53" customHeight="1" spans="1:3">
      <c r="A53" s="26">
        <v>100</v>
      </c>
      <c r="B53" s="27" t="s">
        <v>32</v>
      </c>
      <c r="C53" s="27" t="s">
        <v>90</v>
      </c>
    </row>
    <row r="54" customHeight="1" spans="1:3">
      <c r="A54" s="26">
        <v>362</v>
      </c>
      <c r="B54" s="27" t="s">
        <v>25</v>
      </c>
      <c r="C54" s="27" t="s">
        <v>91</v>
      </c>
    </row>
    <row r="55" customHeight="1" spans="1:3">
      <c r="A55" s="26">
        <v>300</v>
      </c>
      <c r="B55" s="27" t="s">
        <v>32</v>
      </c>
      <c r="C55" s="27" t="s">
        <v>92</v>
      </c>
    </row>
    <row r="56" customHeight="1" spans="1:3">
      <c r="A56" s="26">
        <v>128</v>
      </c>
      <c r="B56" s="27" t="s">
        <v>25</v>
      </c>
      <c r="C56" s="27" t="s">
        <v>93</v>
      </c>
    </row>
    <row r="57" customHeight="1" spans="1:3">
      <c r="A57" s="26">
        <v>304.63</v>
      </c>
      <c r="B57" s="27" t="s">
        <v>25</v>
      </c>
      <c r="C57" s="27" t="s">
        <v>84</v>
      </c>
    </row>
    <row r="58" customHeight="1" spans="1:3">
      <c r="A58" s="26">
        <v>4355.5</v>
      </c>
      <c r="B58" s="27" t="s">
        <v>25</v>
      </c>
      <c r="C58" s="27" t="s">
        <v>94</v>
      </c>
    </row>
    <row r="59" customHeight="1" spans="1:3">
      <c r="A59" s="26">
        <v>-180</v>
      </c>
      <c r="B59" s="27" t="s">
        <v>25</v>
      </c>
      <c r="C59" s="27" t="s">
        <v>95</v>
      </c>
    </row>
    <row r="60" customHeight="1" spans="1:3">
      <c r="A60" s="26">
        <v>350</v>
      </c>
      <c r="B60" s="27" t="s">
        <v>25</v>
      </c>
      <c r="C60" s="27" t="s">
        <v>96</v>
      </c>
    </row>
    <row r="61" customHeight="1" spans="1:3">
      <c r="A61" s="26">
        <v>224</v>
      </c>
      <c r="B61" s="27" t="s">
        <v>25</v>
      </c>
      <c r="C61" s="27" t="s">
        <v>97</v>
      </c>
    </row>
    <row r="62" customHeight="1" spans="1:3">
      <c r="A62" s="26">
        <v>177</v>
      </c>
      <c r="B62" s="27" t="s">
        <v>25</v>
      </c>
      <c r="C62" s="27" t="s">
        <v>98</v>
      </c>
    </row>
    <row r="63" customHeight="1" spans="1:3">
      <c r="A63" s="26">
        <v>112.2</v>
      </c>
      <c r="B63" s="27" t="s">
        <v>25</v>
      </c>
      <c r="C63" s="27" t="s">
        <v>99</v>
      </c>
    </row>
    <row r="64" customHeight="1" spans="1:3">
      <c r="A64" s="26">
        <v>-896</v>
      </c>
      <c r="B64" s="27" t="s">
        <v>25</v>
      </c>
      <c r="C64" s="27" t="s">
        <v>100</v>
      </c>
    </row>
    <row r="65" customHeight="1" spans="1:3">
      <c r="A65" s="26">
        <v>1188</v>
      </c>
      <c r="B65" s="27" t="s">
        <v>25</v>
      </c>
      <c r="C65" s="27" t="s">
        <v>101</v>
      </c>
    </row>
    <row r="66" customHeight="1" spans="1:3">
      <c r="A66" s="26">
        <v>2500</v>
      </c>
      <c r="B66" s="27" t="s">
        <v>25</v>
      </c>
      <c r="C66" s="27" t="s">
        <v>102</v>
      </c>
    </row>
    <row r="67" customHeight="1" spans="1:3">
      <c r="A67" s="26">
        <v>299</v>
      </c>
      <c r="B67" s="27" t="s">
        <v>14</v>
      </c>
      <c r="C67" s="27" t="s">
        <v>103</v>
      </c>
    </row>
    <row r="68" customHeight="1" spans="1:3">
      <c r="A68" s="26">
        <v>-433</v>
      </c>
      <c r="B68" s="27" t="s">
        <v>25</v>
      </c>
      <c r="C68" s="27" t="s">
        <v>104</v>
      </c>
    </row>
    <row r="69" customHeight="1" spans="1:3">
      <c r="A69" s="26">
        <v>50</v>
      </c>
      <c r="B69" s="27" t="s">
        <v>32</v>
      </c>
      <c r="C69" s="27" t="s">
        <v>105</v>
      </c>
    </row>
    <row r="70" customHeight="1" spans="1:3">
      <c r="A70" s="26">
        <v>601.92</v>
      </c>
      <c r="B70" s="27" t="s">
        <v>25</v>
      </c>
      <c r="C70" s="27" t="s">
        <v>106</v>
      </c>
    </row>
    <row r="71" customHeight="1" spans="1:3">
      <c r="A71" s="26">
        <v>390</v>
      </c>
      <c r="B71" s="27" t="s">
        <v>25</v>
      </c>
      <c r="C71" s="27" t="s">
        <v>107</v>
      </c>
    </row>
    <row r="72" customHeight="1" spans="1:3">
      <c r="A72" s="26">
        <v>300</v>
      </c>
      <c r="B72" s="27" t="s">
        <v>37</v>
      </c>
      <c r="C72" s="27" t="s">
        <v>108</v>
      </c>
    </row>
    <row r="73" customHeight="1" spans="1:3">
      <c r="A73" s="26">
        <v>125.1</v>
      </c>
      <c r="B73" s="27" t="s">
        <v>25</v>
      </c>
      <c r="C73" s="27" t="s">
        <v>109</v>
      </c>
    </row>
    <row r="74" customHeight="1" spans="1:3">
      <c r="A74" s="26">
        <v>170</v>
      </c>
      <c r="B74" s="27" t="s">
        <v>25</v>
      </c>
      <c r="C74" s="27" t="s">
        <v>110</v>
      </c>
    </row>
    <row r="75" customHeight="1" spans="1:3">
      <c r="A75" s="26">
        <v>1486.65</v>
      </c>
      <c r="B75" s="27" t="s">
        <v>14</v>
      </c>
      <c r="C75" s="27" t="s">
        <v>111</v>
      </c>
    </row>
    <row r="76" customHeight="1" spans="1:3">
      <c r="A76" s="26">
        <v>198</v>
      </c>
      <c r="B76" s="27" t="s">
        <v>25</v>
      </c>
      <c r="C76" s="27" t="s">
        <v>89</v>
      </c>
    </row>
    <row r="77" customHeight="1" spans="1:3">
      <c r="A77" s="26">
        <v>308</v>
      </c>
      <c r="B77" s="27" t="s">
        <v>25</v>
      </c>
      <c r="C77" s="27" t="s">
        <v>112</v>
      </c>
    </row>
    <row r="78" customHeight="1" spans="1:3">
      <c r="A78" s="26">
        <v>7560</v>
      </c>
      <c r="B78" s="27" t="s">
        <v>25</v>
      </c>
      <c r="C78" s="27" t="s">
        <v>113</v>
      </c>
    </row>
    <row r="79" customHeight="1" spans="1:3">
      <c r="A79" s="26">
        <v>500</v>
      </c>
      <c r="B79" s="27" t="s">
        <v>25</v>
      </c>
      <c r="C79" s="27" t="s">
        <v>26</v>
      </c>
    </row>
    <row r="80" customHeight="1" spans="1:3">
      <c r="A80" s="26">
        <v>195</v>
      </c>
      <c r="B80" s="27" t="s">
        <v>25</v>
      </c>
      <c r="C80" s="27" t="s">
        <v>114</v>
      </c>
    </row>
    <row r="81" customHeight="1" spans="1:3">
      <c r="A81" s="26">
        <v>33.9</v>
      </c>
      <c r="B81" s="27" t="s">
        <v>14</v>
      </c>
      <c r="C81" s="27" t="s">
        <v>115</v>
      </c>
    </row>
    <row r="82" customHeight="1" spans="1:3">
      <c r="A82" s="26">
        <v>1410</v>
      </c>
      <c r="B82" s="27" t="s">
        <v>25</v>
      </c>
      <c r="C82" s="27" t="s">
        <v>116</v>
      </c>
    </row>
    <row r="83" customHeight="1" spans="1:3">
      <c r="A83" s="26">
        <v>81.65</v>
      </c>
      <c r="B83" s="27" t="s">
        <v>14</v>
      </c>
      <c r="C83" s="27" t="s">
        <v>117</v>
      </c>
    </row>
    <row r="84" customHeight="1" spans="1:3">
      <c r="A84" s="26">
        <v>551.92</v>
      </c>
      <c r="B84" s="27" t="s">
        <v>25</v>
      </c>
      <c r="C84" s="27" t="s">
        <v>36</v>
      </c>
    </row>
    <row r="85" customHeight="1" spans="1:3">
      <c r="A85" s="26">
        <v>246</v>
      </c>
      <c r="B85" s="27" t="s">
        <v>25</v>
      </c>
      <c r="C85" s="27" t="s">
        <v>118</v>
      </c>
    </row>
    <row r="86" customHeight="1" spans="1:3">
      <c r="A86" s="26">
        <v>244.6</v>
      </c>
      <c r="B86" s="27" t="s">
        <v>25</v>
      </c>
      <c r="C86" s="27" t="s">
        <v>119</v>
      </c>
    </row>
    <row r="87" customHeight="1" spans="1:3">
      <c r="A87" s="26">
        <v>500</v>
      </c>
      <c r="B87" s="27" t="s">
        <v>25</v>
      </c>
      <c r="C87" s="27" t="s">
        <v>26</v>
      </c>
    </row>
    <row r="88" customHeight="1" spans="1:3">
      <c r="A88" s="26">
        <v>480</v>
      </c>
      <c r="B88" s="27" t="s">
        <v>25</v>
      </c>
      <c r="C88" s="27" t="s">
        <v>120</v>
      </c>
    </row>
    <row r="89" customHeight="1" spans="1:3">
      <c r="A89" s="26">
        <v>120</v>
      </c>
      <c r="B89" s="27" t="s">
        <v>25</v>
      </c>
      <c r="C89" s="27" t="s">
        <v>121</v>
      </c>
    </row>
    <row r="90" customHeight="1" spans="1:3">
      <c r="A90" s="26">
        <v>2555</v>
      </c>
      <c r="B90" s="27" t="s">
        <v>25</v>
      </c>
      <c r="C90" s="27" t="s">
        <v>122</v>
      </c>
    </row>
    <row r="91" customHeight="1" spans="1:3">
      <c r="A91" s="26">
        <v>106</v>
      </c>
      <c r="B91" s="27" t="s">
        <v>25</v>
      </c>
      <c r="C91" s="27" t="s">
        <v>123</v>
      </c>
    </row>
    <row r="92" customHeight="1" spans="1:3">
      <c r="A92" s="26">
        <v>22.8</v>
      </c>
      <c r="B92" s="27" t="s">
        <v>14</v>
      </c>
      <c r="C92" s="27" t="s">
        <v>124</v>
      </c>
    </row>
    <row r="93" customHeight="1" spans="1:3">
      <c r="A93" s="26">
        <v>390</v>
      </c>
      <c r="B93" s="27" t="s">
        <v>25</v>
      </c>
      <c r="C93" s="27" t="s">
        <v>125</v>
      </c>
    </row>
    <row r="94" customHeight="1" spans="1:3">
      <c r="A94" s="26">
        <v>246</v>
      </c>
      <c r="B94" s="27" t="s">
        <v>25</v>
      </c>
      <c r="C94" s="27" t="s">
        <v>118</v>
      </c>
    </row>
    <row r="95" customHeight="1" spans="1:3">
      <c r="A95" s="26">
        <v>130</v>
      </c>
      <c r="B95" s="27" t="s">
        <v>14</v>
      </c>
      <c r="C95" s="27" t="s">
        <v>126</v>
      </c>
    </row>
    <row r="96" customHeight="1" spans="1:3">
      <c r="A96" s="26">
        <v>96</v>
      </c>
      <c r="B96" s="27" t="s">
        <v>25</v>
      </c>
      <c r="C96" s="27" t="s">
        <v>127</v>
      </c>
    </row>
    <row r="97" customHeight="1" spans="1:3">
      <c r="A97" s="26">
        <v>104.36</v>
      </c>
      <c r="B97" s="27" t="s">
        <v>25</v>
      </c>
      <c r="C97" s="27" t="s">
        <v>128</v>
      </c>
    </row>
    <row r="98" customHeight="1" spans="1:3">
      <c r="A98" s="37"/>
      <c r="B98" s="30"/>
      <c r="C98" s="31"/>
    </row>
    <row r="99" customHeight="1" spans="1:3">
      <c r="A99" s="37"/>
      <c r="B99" s="30"/>
      <c r="C99" s="31"/>
    </row>
    <row r="100" customHeight="1" spans="1:3">
      <c r="A100" s="38" t="s">
        <v>68</v>
      </c>
      <c r="B100" s="29" t="s">
        <v>4</v>
      </c>
      <c r="C100" s="27" t="s">
        <v>5</v>
      </c>
    </row>
    <row r="101" customHeight="1" spans="1:3">
      <c r="A101" s="32">
        <v>8739.36</v>
      </c>
      <c r="B101" s="29" t="s">
        <v>129</v>
      </c>
      <c r="C101" s="31"/>
    </row>
    <row r="102" customHeight="1" spans="1:3">
      <c r="A102" s="32">
        <v>108.3</v>
      </c>
      <c r="B102" s="29" t="s">
        <v>130</v>
      </c>
      <c r="C102" s="31"/>
    </row>
    <row r="103" customHeight="1" spans="1:3">
      <c r="A103" s="32">
        <v>2679.29</v>
      </c>
      <c r="B103" s="29" t="s">
        <v>62</v>
      </c>
      <c r="C103" s="31"/>
    </row>
    <row r="104" customHeight="1" spans="1:3">
      <c r="A104" s="32">
        <v>9171.69</v>
      </c>
      <c r="B104" s="29" t="s">
        <v>63</v>
      </c>
      <c r="C104" s="31"/>
    </row>
    <row r="105" customHeight="1" spans="1:3">
      <c r="A105" s="32">
        <v>28180.51</v>
      </c>
      <c r="B105" s="29" t="s">
        <v>59</v>
      </c>
      <c r="C105" s="31"/>
    </row>
    <row r="106" customHeight="1" spans="1:3">
      <c r="A106" s="39">
        <v>24949.9</v>
      </c>
      <c r="B106" s="29" t="s">
        <v>60</v>
      </c>
      <c r="C106" s="27"/>
    </row>
    <row r="108" customHeight="1" spans="1:3">
      <c r="A108" s="37"/>
      <c r="B108" s="33"/>
      <c r="C108" s="34"/>
    </row>
    <row r="109" customHeight="1" spans="1:3">
      <c r="A109" s="37"/>
      <c r="B109" s="33"/>
      <c r="C109" s="35"/>
    </row>
    <row r="110" customHeight="1" spans="1:3">
      <c r="A110" s="37"/>
      <c r="C110" s="35"/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8 B49 B50 B51 B52 B53 B54 B55 B56 B57 B58 B59 B60 B61 B62 B63 B64 B65 B66 B67 B2:B3 B5:B9 B11:B19 B21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0"/>
  <sheetViews>
    <sheetView topLeftCell="A7" workbookViewId="0">
      <selection activeCell="E19" sqref="E19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SUM(收入明细2604[收入明细])</f>
        <v>0</v>
      </c>
      <c r="C3" s="6" t="s">
        <v>48</v>
      </c>
    </row>
    <row r="4" customHeight="1" spans="1:3">
      <c r="A4" s="8" t="s">
        <v>49</v>
      </c>
      <c r="B4" s="9">
        <f>SUM(支出明细2604[支出明细])</f>
        <v>31730.58</v>
      </c>
      <c r="C4" s="8" t="s">
        <v>48</v>
      </c>
    </row>
    <row r="5" customHeight="1" spans="1:3">
      <c r="A5" s="10" t="s">
        <v>50</v>
      </c>
      <c r="B5" s="11">
        <f>$B$3-SUMIF(支出明细2604[分类],"食材",支出明细2604[支出明细])</f>
        <v>-9397.58</v>
      </c>
      <c r="C5" s="10" t="s">
        <v>48</v>
      </c>
    </row>
    <row r="6" customHeight="1" spans="1:3">
      <c r="A6" s="10" t="s">
        <v>51</v>
      </c>
      <c r="B6" s="11">
        <f>$B$3-$B$4</f>
        <v>-31730.58</v>
      </c>
      <c r="C6" s="10" t="s">
        <v>48</v>
      </c>
    </row>
    <row r="7" customHeight="1" spans="1:3">
      <c r="A7" s="10" t="s">
        <v>52</v>
      </c>
      <c r="B7" s="12" t="e">
        <f>$B$5/$B$3</f>
        <v>#DIV/0!</v>
      </c>
      <c r="C7" s="10" t="s">
        <v>53</v>
      </c>
    </row>
    <row r="8" customHeight="1" spans="1:3">
      <c r="A8" s="10" t="s">
        <v>54</v>
      </c>
      <c r="B8" s="12" t="e">
        <f>$B$6/$B$3</f>
        <v>#DIV/0!</v>
      </c>
      <c r="C8" s="10" t="s">
        <v>53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60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61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64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9397.58</v>
      </c>
      <c r="C23" s="12">
        <f>$B$23/$B$4</f>
        <v>0.296167923813558</v>
      </c>
    </row>
    <row r="24" customHeight="1" spans="1:3">
      <c r="A24" s="10" t="s">
        <v>67</v>
      </c>
      <c r="B24" s="11">
        <f>SUMIF(支出明细2604[分类],"工资",支出明细2604[支出明细])</f>
        <v>15000</v>
      </c>
      <c r="C24" s="12">
        <f>$B$24/$B$4</f>
        <v>0.472730091917639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0.136555965885275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0.0945460183835278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64</v>
      </c>
      <c r="B29" s="24">
        <f>SUM(B23:B28)</f>
        <v>31730.58</v>
      </c>
      <c r="C29" s="25">
        <f>SUM($C$23:$C$28)</f>
        <v>1</v>
      </c>
    </row>
    <row r="32" customHeight="1" spans="1:3">
      <c r="A32" s="26" t="s">
        <v>70</v>
      </c>
      <c r="B32" s="27" t="s">
        <v>4</v>
      </c>
      <c r="C32" s="27" t="s">
        <v>5</v>
      </c>
    </row>
    <row r="33" customHeight="1" spans="1:3">
      <c r="A33" s="28">
        <v>4333</v>
      </c>
      <c r="B33" s="27" t="s">
        <v>6</v>
      </c>
      <c r="C33" s="27" t="s">
        <v>71</v>
      </c>
    </row>
    <row r="34" customHeight="1" spans="1:3">
      <c r="A34" s="28">
        <v>15000</v>
      </c>
      <c r="B34" s="27" t="s">
        <v>67</v>
      </c>
      <c r="C34" s="27" t="s">
        <v>74</v>
      </c>
    </row>
    <row r="35" customHeight="1" spans="1:3">
      <c r="A35" s="28">
        <v>3000</v>
      </c>
      <c r="B35" s="27" t="s">
        <v>37</v>
      </c>
      <c r="C35" s="27" t="s">
        <v>74</v>
      </c>
    </row>
    <row r="36" customHeight="1" spans="1:3">
      <c r="A36" s="26">
        <v>4000</v>
      </c>
      <c r="B36" s="27" t="s">
        <v>25</v>
      </c>
      <c r="C36" s="27" t="s">
        <v>131</v>
      </c>
    </row>
    <row r="37" customHeight="1" spans="1:3">
      <c r="A37" s="28">
        <v>397.58</v>
      </c>
      <c r="B37" s="29" t="s">
        <v>25</v>
      </c>
      <c r="C37" s="27" t="s">
        <v>132</v>
      </c>
    </row>
    <row r="38" customHeight="1" spans="1:3">
      <c r="A38" s="28">
        <v>5000</v>
      </c>
      <c r="B38" s="29" t="s">
        <v>25</v>
      </c>
      <c r="C38" s="27" t="s">
        <v>133</v>
      </c>
    </row>
    <row r="39" customHeight="1" spans="1:3">
      <c r="A39" s="28"/>
      <c r="B39" s="30"/>
      <c r="C39" s="31"/>
    </row>
    <row r="40" customHeight="1" spans="1:3">
      <c r="A40" s="28"/>
      <c r="B40" s="30"/>
      <c r="C40" s="31"/>
    </row>
    <row r="41" customHeight="1" spans="1:3">
      <c r="A41" s="26" t="s">
        <v>68</v>
      </c>
      <c r="B41" s="29" t="s">
        <v>4</v>
      </c>
      <c r="C41" s="27" t="s">
        <v>5</v>
      </c>
    </row>
    <row r="42" customHeight="1" spans="1:3">
      <c r="A42" s="32">
        <v>0</v>
      </c>
      <c r="B42" s="29" t="s">
        <v>129</v>
      </c>
      <c r="C42" s="31"/>
    </row>
    <row r="43" customHeight="1" spans="1:3">
      <c r="A43" s="32">
        <v>0</v>
      </c>
      <c r="B43" s="29" t="s">
        <v>130</v>
      </c>
      <c r="C43" s="31"/>
    </row>
    <row r="44" customHeight="1" spans="1:3">
      <c r="A44" s="32">
        <v>0</v>
      </c>
      <c r="B44" s="29" t="s">
        <v>62</v>
      </c>
      <c r="C44" s="31"/>
    </row>
    <row r="45" customHeight="1" spans="1:3">
      <c r="A45" s="32">
        <v>0</v>
      </c>
      <c r="B45" s="29" t="s">
        <v>63</v>
      </c>
      <c r="C45" s="31"/>
    </row>
    <row r="46" customHeight="1" spans="1:3">
      <c r="A46" s="32">
        <v>0</v>
      </c>
      <c r="B46" s="29" t="s">
        <v>59</v>
      </c>
      <c r="C46" s="31"/>
    </row>
    <row r="47" customHeight="1" spans="1:3">
      <c r="A47" s="32">
        <v>0</v>
      </c>
      <c r="B47" s="29" t="s">
        <v>60</v>
      </c>
      <c r="C47" s="27"/>
    </row>
    <row r="48" customHeight="1" spans="1:3">
      <c r="A48" s="28"/>
      <c r="B48" s="33"/>
      <c r="C48" s="34"/>
    </row>
    <row r="49" customHeight="1" spans="1:3">
      <c r="A49" s="28"/>
      <c r="B49" s="33"/>
      <c r="C49" s="35"/>
    </row>
    <row r="50" customHeight="1" spans="1:3">
      <c r="A50" s="28"/>
      <c r="C50" s="35"/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2026-02-22T19:28:00Z</dcterms:created>
  <dcterms:modified xsi:type="dcterms:W3CDTF">2026-04-01T17:02:36Z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