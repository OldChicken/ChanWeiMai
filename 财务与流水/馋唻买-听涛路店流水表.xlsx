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<sst xmlns="http://schemas.openxmlformats.org/spreadsheetml/2006/main" count="799" uniqueCount="197">
  <si>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</si>
  <si>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</si>
  <si>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</si>
  <si>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</si>
  <si>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</si>
  <si>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</si>
  <si>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</si>
  <si>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</si>
  <si>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</si>
  <si>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</si>
  <si>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</si>
  <si>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</si>
  <si>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</si>
  <si>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</si>
  <si>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</si>
  <si>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</si>
  <si>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</si>
  <si>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</si>
  <si>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</si>
  <si>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</si>
  <si>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</si>
  <si>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</si>
  <si>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</si>
  <si>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</si>
  <si>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</si>
  <si>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</si>
  <si>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</si>
  <si>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</si>
  <si>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</si>
  <si>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</si>
  <si>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</si>
  <si>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</si>
  <si>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</si>
  <si>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</si>
  <si>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</si>
  <si>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</si>
  <si>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</si>
  <si>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</si>
  <si>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</si>
  <si>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</si>
  <si>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</si>
  <si>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</si>
  <si>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</si>
  <si>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</si>
  <si>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</si>
  <si>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</si>
  <si>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</si>
  <si>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</si>
  <si>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</si>
  <si>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</si>
  <si>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</si>
  <si>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</si>
  <si>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</si>
  <si>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</si>
  <si>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</si>
  <si>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</si>
  <si>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</si>
  <si>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</si>
  <si>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</si>
  <si>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</si>
  <si>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</si>
  <si>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</si>
  <si>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</si>
  <si>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</si>
  <si>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</si>
  <si>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</si>
  <si>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</si>
  <si>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</si>
  <si>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</si>
  <si>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</si>
  <si>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</si>
  <si>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</si>
  <si>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</si>
  <si>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</si>
  <si>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</si>
  <si>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</si>
  <si>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</si>
  <si>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</si>
  <si>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</si>
  <si>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</si>
  <si>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</si>
  <si>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</si>
  <si>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</si>
  <si>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</si>
  <si>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</si>
  <si>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</si>
  <si>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</si>
  <si>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</si>
  <si>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</si>
  <si>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</si>
  <si>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</si>
  <si>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</si>
  <si>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</si>
  <si>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</si>
  <si>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</si>
  <si>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</si>
  <si>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</si>
  <si>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</si>
  <si>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</si>
  <si>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</si>
  <si>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</si>
  <si>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</si>
  <si>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</si>
  <si>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</si>
  <si>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</si>
  <si>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</si>
  <si>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</si>
  <si>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</si>
  <si>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</si>
  <si>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</si>
  <si>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</si>
  <si>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</si>
  <si>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</si>
  <si>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</si>
  <si>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</si>
  <si>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</si>
  <si>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</si>
  <si>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</si>
  <si>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</si>
  <si>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</si>
  <si>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</si>
  <si>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</si>
  <si>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</si>
  <si>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</si>
  <si>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</si>
  <si>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</si>
  <si>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</si>
  <si>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</si>
  <si>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</si>
  <si>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</si>
  <si>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</si>
  <si>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</si>
  <si>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</si>
  <si>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</si>
  <si>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</si>
  <si>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</si>
  <si>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</si>
  <si>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</si>
  <si>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</si>
  <si>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</si>
  <si>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</si>
  <si>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</si>
  <si>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</si>
  <si>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</si>
  <si>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</si>
  <si>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</si>
  <si>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</si>
  <si>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</si>
  <si>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</si>
  <si>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</si>
  <si>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</si>
  <si>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</si>
  <si>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</si>
  <si>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</si>
  <si>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</si>
  <si>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</si>
  <si>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</si>
  <si>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</si>
  <si>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</si>
  <si>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</si>
  <si>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</si>
  <si>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</si>
  <si>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</si>
  <si>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</si>
  <si>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</si>
  <si>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</si>
  <si>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</si>
  <si>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</si>
  <si>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</si>
  <si>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</si>
  <si>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</si>
  <si>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</si>
  <si>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</si>
  <si>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</si>
  <si>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</si>
  <si>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</si>
  <si>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</si>
  <si>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</si>
  <si>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</si>
  <si>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</si>
  <si>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</si>
  <si>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</si>
  <si>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</si>
  <si>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</si>
  <si>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</si>
  <si>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</si>
  <si>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</si>
  <si>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</si>
  <si>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</si>
  <si>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</si>
  <si>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</si>
  <si>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</si>
  <si>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</si>
  <si>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</si>
  <si>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</si>
  <si>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</si>
  <si>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肉片第一次进货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</si>
</sst>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1" formatCode="_ * #,##0_ ;_ * \-#,##0_ ;_ * &quot;-&quot;_ ;_ @_ "/>
    <numFmt numFmtId="177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8" formatCode="0.00_ ;[Red]\-0.00\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0" fillId="39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  <xf numFmtId="0" fontId="22" fillId="33" borderId="13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4" fillId="27" borderId="13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11" fillId="16" borderId="8" applyNumberFormat="0" applyAlignment="0" applyProtection="0">
      <alignment vertical="center"/>
    </xf>
    <xf numFmtId="0" fontId="17" fillId="27" borderId="11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26" borderId="10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4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left"/>
    </xf>
    <xf numFmtId="4" fontId="5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5">
  <autoFilter ref="A43:C7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9" customWidth="1"/>
    <col min="2" max="2" width="30.6634615384615" style="80" customWidth="1"/>
    <col min="3" max="3" width="30.6634615384615" style="81" customWidth="1"/>
    <col min="4" max="4" width="30.6634615384615" style="80" customWidth="1"/>
    <col min="5" max="16384" width="30.6634615384615" style="80"/>
  </cols>
  <sheetData>
    <row r="1" customHeight="1" spans="1:3">
      <c r="A1" s="79" t="s">
        <v>0</v>
      </c>
      <c r="B1" s="82">
        <v>100000</v>
      </c>
      <c r="C1" s="80"/>
    </row>
    <row r="2" customHeight="1" spans="1:3">
      <c r="A2" s="79" t="s">
        <v>1</v>
      </c>
      <c r="B2" s="81">
        <f>SUM(成本明细[金额(元)])</f>
        <v>101248.03</v>
      </c>
      <c r="C2" s="80"/>
    </row>
    <row r="3" customHeight="1" spans="1:3">
      <c r="A3" s="79" t="s">
        <v>2</v>
      </c>
      <c r="B3" s="81">
        <f>B1-B2</f>
        <v>-1248.03000000001</v>
      </c>
      <c r="C3" s="80"/>
    </row>
    <row r="6" customHeight="1" spans="1:3">
      <c r="A6" s="79" t="s">
        <v>3</v>
      </c>
      <c r="B6" s="80" t="s">
        <v>4</v>
      </c>
      <c r="C6" s="81" t="s">
        <v>5</v>
      </c>
    </row>
    <row r="7" customHeight="1" spans="1:3">
      <c r="A7" s="83">
        <v>10000</v>
      </c>
      <c r="B7" s="80" t="s">
        <v>6</v>
      </c>
      <c r="C7" s="81" t="s">
        <v>7</v>
      </c>
    </row>
    <row r="8" customHeight="1" spans="1:3">
      <c r="A8" s="83">
        <v>26000</v>
      </c>
      <c r="B8" s="80" t="s">
        <v>6</v>
      </c>
      <c r="C8" s="81" t="s">
        <v>8</v>
      </c>
    </row>
    <row r="9" customHeight="1" spans="1:3">
      <c r="A9" s="83">
        <v>6000</v>
      </c>
      <c r="B9" s="80" t="s">
        <v>9</v>
      </c>
      <c r="C9" s="81" t="s">
        <v>10</v>
      </c>
    </row>
    <row r="10" customHeight="1" spans="1:3">
      <c r="A10" s="83">
        <v>3000</v>
      </c>
      <c r="B10" s="80" t="s">
        <v>9</v>
      </c>
      <c r="C10" s="81" t="s">
        <v>11</v>
      </c>
    </row>
    <row r="11" customHeight="1" spans="1:3">
      <c r="A11" s="83">
        <v>2100</v>
      </c>
      <c r="B11" s="80" t="s">
        <v>9</v>
      </c>
      <c r="C11" s="81" t="s">
        <v>12</v>
      </c>
    </row>
    <row r="12" customHeight="1" spans="1:3">
      <c r="A12" s="83">
        <v>340</v>
      </c>
      <c r="B12" s="80" t="s">
        <v>9</v>
      </c>
      <c r="C12" s="81" t="s">
        <v>13</v>
      </c>
    </row>
    <row r="13" customHeight="1" spans="1:3">
      <c r="A13" s="83">
        <v>200</v>
      </c>
      <c r="B13" s="80" t="s">
        <v>14</v>
      </c>
      <c r="C13" s="81" t="s">
        <v>15</v>
      </c>
    </row>
    <row r="14" customHeight="1" spans="1:3">
      <c r="A14" s="83">
        <v>11000</v>
      </c>
      <c r="B14" s="80" t="s">
        <v>16</v>
      </c>
      <c r="C14" s="81" t="s">
        <v>17</v>
      </c>
    </row>
    <row r="15" customHeight="1" spans="1:3">
      <c r="A15" s="83">
        <v>5000</v>
      </c>
      <c r="B15" s="80" t="s">
        <v>9</v>
      </c>
      <c r="C15" s="81" t="s">
        <v>18</v>
      </c>
    </row>
    <row r="16" customHeight="1" spans="1:3">
      <c r="A16" s="83">
        <v>755</v>
      </c>
      <c r="B16" s="80" t="s">
        <v>16</v>
      </c>
      <c r="C16" s="81" t="s">
        <v>19</v>
      </c>
    </row>
    <row r="17" customHeight="1" spans="1:3">
      <c r="A17" s="83">
        <v>190</v>
      </c>
      <c r="B17" s="80" t="s">
        <v>9</v>
      </c>
      <c r="C17" s="81" t="s">
        <v>20</v>
      </c>
    </row>
    <row r="18" customHeight="1" spans="1:3">
      <c r="A18" s="83">
        <v>405.9</v>
      </c>
      <c r="B18" s="80" t="s">
        <v>16</v>
      </c>
      <c r="C18" s="81" t="s">
        <v>21</v>
      </c>
    </row>
    <row r="19" customHeight="1" spans="1:3">
      <c r="A19" s="83">
        <v>228</v>
      </c>
      <c r="B19" s="80" t="s">
        <v>16</v>
      </c>
      <c r="C19" s="81" t="s">
        <v>22</v>
      </c>
    </row>
    <row r="20" customHeight="1" spans="1:3">
      <c r="A20" s="83">
        <v>639.5</v>
      </c>
      <c r="B20" s="80" t="s">
        <v>16</v>
      </c>
      <c r="C20" s="81" t="s">
        <v>23</v>
      </c>
    </row>
    <row r="21" customHeight="1" spans="1:3">
      <c r="A21" s="83">
        <v>1259.1</v>
      </c>
      <c r="B21" s="80" t="s">
        <v>16</v>
      </c>
      <c r="C21" s="81" t="s">
        <v>24</v>
      </c>
    </row>
    <row r="22" customHeight="1" spans="1:3">
      <c r="A22" s="83">
        <v>1000</v>
      </c>
      <c r="B22" s="80" t="s">
        <v>25</v>
      </c>
      <c r="C22" s="81" t="s">
        <v>26</v>
      </c>
    </row>
    <row r="23" customHeight="1" spans="1:3">
      <c r="A23" s="83">
        <v>13260</v>
      </c>
      <c r="B23" s="80" t="s">
        <v>25</v>
      </c>
      <c r="C23" s="81" t="s">
        <v>27</v>
      </c>
    </row>
    <row r="24" customHeight="1" spans="1:3">
      <c r="A24" s="83">
        <v>47.97</v>
      </c>
      <c r="B24" s="80" t="s">
        <v>14</v>
      </c>
      <c r="C24" s="81" t="s">
        <v>28</v>
      </c>
    </row>
    <row r="25" customHeight="1" spans="1:3">
      <c r="A25" s="83">
        <v>276.1</v>
      </c>
      <c r="B25" s="80" t="s">
        <v>14</v>
      </c>
      <c r="C25" s="81" t="s">
        <v>29</v>
      </c>
    </row>
    <row r="26" customHeight="1" spans="1:3">
      <c r="A26" s="83">
        <v>6000</v>
      </c>
      <c r="B26" s="80" t="s">
        <v>9</v>
      </c>
      <c r="C26" s="81" t="s">
        <v>30</v>
      </c>
    </row>
    <row r="27" customHeight="1" spans="1:3">
      <c r="A27" s="83">
        <v>640</v>
      </c>
      <c r="B27" s="80" t="s">
        <v>9</v>
      </c>
      <c r="C27" s="81" t="s">
        <v>31</v>
      </c>
    </row>
    <row r="28" customHeight="1" spans="1:3">
      <c r="A28" s="83">
        <v>500</v>
      </c>
      <c r="B28" s="80" t="s">
        <v>32</v>
      </c>
      <c r="C28" s="81" t="s">
        <v>33</v>
      </c>
    </row>
    <row r="29" customHeight="1" spans="1:3">
      <c r="A29" s="83">
        <v>600</v>
      </c>
      <c r="B29" s="80" t="s">
        <v>32</v>
      </c>
      <c r="C29" s="81" t="s">
        <v>34</v>
      </c>
    </row>
    <row r="30" customHeight="1" spans="1:3">
      <c r="A30" s="83">
        <v>938</v>
      </c>
      <c r="B30" s="80" t="s">
        <v>25</v>
      </c>
      <c r="C30" s="81" t="s">
        <v>35</v>
      </c>
    </row>
    <row r="31" customHeight="1" spans="1:3">
      <c r="A31" s="83">
        <v>1000</v>
      </c>
      <c r="B31" s="80" t="s">
        <v>25</v>
      </c>
      <c r="C31" s="81" t="s">
        <v>26</v>
      </c>
    </row>
    <row r="32" customHeight="1" spans="1:3">
      <c r="A32" s="83">
        <v>60.5</v>
      </c>
      <c r="B32" s="80" t="s">
        <v>25</v>
      </c>
      <c r="C32" s="81" t="s">
        <v>36</v>
      </c>
    </row>
    <row r="33" customHeight="1" spans="1:3">
      <c r="A33" s="83">
        <v>162.41</v>
      </c>
      <c r="B33" s="80" t="s">
        <v>37</v>
      </c>
      <c r="C33" s="81" t="s">
        <v>38</v>
      </c>
    </row>
    <row r="34" customHeight="1" spans="1:3">
      <c r="A34" s="83">
        <v>42.16</v>
      </c>
      <c r="B34" s="80" t="s">
        <v>25</v>
      </c>
      <c r="C34" s="81" t="s">
        <v>35</v>
      </c>
    </row>
    <row r="35" customHeight="1" spans="1:3">
      <c r="A35" s="83">
        <v>1000</v>
      </c>
      <c r="B35" s="80" t="s">
        <v>25</v>
      </c>
      <c r="C35" s="81" t="s">
        <v>26</v>
      </c>
    </row>
    <row r="36" customHeight="1" spans="1:3">
      <c r="A36" s="83">
        <v>500</v>
      </c>
      <c r="B36" s="80" t="s">
        <v>9</v>
      </c>
      <c r="C36" s="81" t="s">
        <v>39</v>
      </c>
    </row>
    <row r="37" customHeight="1" spans="1:3">
      <c r="A37" s="83">
        <v>1300</v>
      </c>
      <c r="B37" s="80" t="s">
        <v>25</v>
      </c>
      <c r="C37" s="81" t="s">
        <v>40</v>
      </c>
    </row>
    <row r="38" customHeight="1" spans="1:3">
      <c r="A38" s="83">
        <v>253.84</v>
      </c>
      <c r="B38" s="80" t="s">
        <v>25</v>
      </c>
      <c r="C38" s="81" t="s">
        <v>36</v>
      </c>
    </row>
    <row r="39" customHeight="1" spans="1:3">
      <c r="A39" s="83">
        <v>1000</v>
      </c>
      <c r="B39" s="80" t="s">
        <v>25</v>
      </c>
      <c r="C39" s="81" t="s">
        <v>26</v>
      </c>
    </row>
    <row r="40" customHeight="1" spans="1:3">
      <c r="A40" s="83">
        <v>355.3</v>
      </c>
      <c r="B40" s="80" t="s">
        <v>25</v>
      </c>
      <c r="C40" s="81" t="s">
        <v>36</v>
      </c>
    </row>
    <row r="41" customHeight="1" spans="1:3">
      <c r="A41" s="83">
        <v>3000</v>
      </c>
      <c r="B41" s="80" t="s">
        <v>25</v>
      </c>
      <c r="C41" s="81" t="s">
        <v>41</v>
      </c>
    </row>
    <row r="42" customHeight="1" spans="1:3">
      <c r="A42" s="83">
        <v>174</v>
      </c>
      <c r="B42" s="80" t="s">
        <v>25</v>
      </c>
      <c r="C42" s="81" t="s">
        <v>36</v>
      </c>
    </row>
    <row r="43" customHeight="1" spans="1:3">
      <c r="A43" s="83">
        <v>33.6</v>
      </c>
      <c r="B43" s="80" t="s">
        <v>14</v>
      </c>
      <c r="C43" s="81" t="s">
        <v>42</v>
      </c>
    </row>
    <row r="44" customHeight="1" spans="1:3">
      <c r="A44" s="83">
        <v>500</v>
      </c>
      <c r="B44" s="80" t="s">
        <v>25</v>
      </c>
      <c r="C44" s="81" t="s">
        <v>26</v>
      </c>
    </row>
    <row r="45" customHeight="1" spans="1:3">
      <c r="A45" s="83">
        <v>1486.65</v>
      </c>
      <c r="B45" s="83" t="s">
        <v>16</v>
      </c>
      <c r="C45" s="83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9" customWidth="1"/>
    <col min="3" max="3" width="30.6634615384615" style="50" customWidth="1"/>
    <col min="4" max="4" width="30.6634615384615" style="49" customWidth="1"/>
    <col min="5" max="16384" width="30.6634615384615" style="49"/>
  </cols>
  <sheetData>
    <row r="1" s="4" customFormat="1" customHeight="1" spans="1:3">
      <c r="A1" s="51" t="s">
        <v>44</v>
      </c>
      <c r="C1" s="32"/>
    </row>
    <row r="2" customHeight="1" spans="1:3">
      <c r="A2" s="52" t="s">
        <v>45</v>
      </c>
      <c r="B2" s="52" t="s">
        <v>46</v>
      </c>
      <c r="C2" s="53" t="s">
        <v>47</v>
      </c>
    </row>
    <row r="3" customHeight="1" spans="1:3">
      <c r="A3" s="54" t="s">
        <v>48</v>
      </c>
      <c r="B3" s="55">
        <f>SUM(收入明细2602[收入明细])</f>
        <v>42435.74</v>
      </c>
      <c r="C3" s="54" t="s">
        <v>49</v>
      </c>
    </row>
    <row r="4" customHeight="1" spans="1:3">
      <c r="A4" s="56" t="s">
        <v>50</v>
      </c>
      <c r="B4" s="57">
        <f>SUM(支出明细2602[支出明细])</f>
        <v>40327.81</v>
      </c>
      <c r="C4" s="56" t="s">
        <v>49</v>
      </c>
    </row>
    <row r="5" customHeight="1" spans="1:3">
      <c r="A5" s="58" t="s">
        <v>51</v>
      </c>
      <c r="B5" s="59">
        <f>$B$3-SUMIF(支出明细2602[分类],"食材",支出明细2602[支出明细])</f>
        <v>18551.94</v>
      </c>
      <c r="C5" s="58" t="s">
        <v>49</v>
      </c>
    </row>
    <row r="6" customHeight="1" spans="1:3">
      <c r="A6" s="58" t="s">
        <v>52</v>
      </c>
      <c r="B6" s="59">
        <f>$B$3-$B$4</f>
        <v>2107.93</v>
      </c>
      <c r="C6" s="58" t="s">
        <v>49</v>
      </c>
    </row>
    <row r="7" customHeight="1" spans="1:3">
      <c r="A7" s="58" t="s">
        <v>53</v>
      </c>
      <c r="B7" s="60">
        <f>$B$5/$B$3</f>
        <v>0.437177247292023</v>
      </c>
      <c r="C7" s="60" t="s">
        <v>54</v>
      </c>
    </row>
    <row r="8" customHeight="1" spans="1:3">
      <c r="A8" s="58" t="s">
        <v>55</v>
      </c>
      <c r="B8" s="60">
        <f>$B$6/$B$3</f>
        <v>0.0496734592115043</v>
      </c>
      <c r="C8" s="60" t="s">
        <v>54</v>
      </c>
    </row>
    <row r="11" customHeight="1" spans="1:1">
      <c r="A11" s="61" t="s">
        <v>56</v>
      </c>
    </row>
    <row r="12" customHeight="1" spans="1:3">
      <c r="A12" s="62" t="s">
        <v>57</v>
      </c>
      <c r="B12" s="62" t="s">
        <v>58</v>
      </c>
      <c r="C12" s="62" t="s">
        <v>59</v>
      </c>
    </row>
    <row r="13" customHeight="1" spans="1:3">
      <c r="A13" s="58" t="s">
        <v>60</v>
      </c>
      <c r="B13" s="59">
        <f>SUMIF(收入明细2602[分类],"淘宝外卖",收入明细2602[收入明细])</f>
        <v>19919.1</v>
      </c>
      <c r="C13" s="60">
        <f>$B$13/$B$3</f>
        <v>0.469394430260907</v>
      </c>
    </row>
    <row r="14" customHeight="1" spans="1:3">
      <c r="A14" s="63" t="s">
        <v>61</v>
      </c>
      <c r="B14" s="64">
        <f>SUMIF(收入明细2602[分类],"美团外卖",收入明细2602[收入明细])</f>
        <v>13970.88</v>
      </c>
      <c r="C14" s="65">
        <f>$B$14/$B$3</f>
        <v>0.329224375491037</v>
      </c>
    </row>
    <row r="15" customHeight="1" spans="1:3">
      <c r="A15" s="58" t="s">
        <v>62</v>
      </c>
      <c r="B15" s="59">
        <f>SUMIF(收入明细2602[分类],"微信堂食",收入明细2602[收入明细])</f>
        <v>6683.96</v>
      </c>
      <c r="C15" s="60">
        <f>$B$15/$B$3</f>
        <v>0.157507798850686</v>
      </c>
    </row>
    <row r="16" customHeight="1" spans="1:3">
      <c r="A16" s="63" t="s">
        <v>63</v>
      </c>
      <c r="B16" s="64">
        <f>SUMIF(收入明细2602[分类],"支付宝堂食",收入明细2602[收入明细])</f>
        <v>1861.8</v>
      </c>
      <c r="C16" s="65">
        <f>$B$16/$B$3</f>
        <v>0.0438733953973702</v>
      </c>
    </row>
    <row r="17" customHeight="1" spans="1:3">
      <c r="A17" s="58" t="s">
        <v>64</v>
      </c>
      <c r="B17" s="59">
        <f>SUMIF(收入明细2602[分类],"京东外卖",收入明细2602[收入明细])</f>
        <v>0</v>
      </c>
      <c r="C17" s="60">
        <f>$B$17/$B$3</f>
        <v>0</v>
      </c>
    </row>
    <row r="18" customHeight="1" spans="1:3">
      <c r="A18" s="66" t="s">
        <v>65</v>
      </c>
      <c r="B18" s="67">
        <f>SUM(收入明细2602[收入明细])</f>
        <v>42435.74</v>
      </c>
      <c r="C18" s="68">
        <f>SUM($C$13:$C$17)</f>
        <v>1</v>
      </c>
    </row>
    <row r="21" customHeight="1" spans="1:1">
      <c r="A21" s="69" t="s">
        <v>66</v>
      </c>
    </row>
    <row r="22" customHeight="1" spans="1:3">
      <c r="A22" s="70" t="s">
        <v>67</v>
      </c>
      <c r="B22" s="70" t="s">
        <v>58</v>
      </c>
      <c r="C22" s="70" t="s">
        <v>59</v>
      </c>
    </row>
    <row r="23" customHeight="1" spans="1:3">
      <c r="A23" s="63" t="s">
        <v>25</v>
      </c>
      <c r="B23" s="64">
        <f>SUMIF(支出明细2602[分类],"食材",支出明细2602[支出明细])</f>
        <v>23883.8</v>
      </c>
      <c r="C23" s="65">
        <f>$B$23/$B$4</f>
        <v>0.592241433392986</v>
      </c>
    </row>
    <row r="24" customHeight="1" spans="1:3">
      <c r="A24" s="58" t="s">
        <v>68</v>
      </c>
      <c r="B24" s="59">
        <f>SUMIF(支出明细2602[分类],"工资",支出明细2602[支出明细])</f>
        <v>8500</v>
      </c>
      <c r="C24" s="60">
        <f>$B$24/$B$4</f>
        <v>0.210772665314581</v>
      </c>
    </row>
    <row r="25" customHeight="1" spans="1:3">
      <c r="A25" s="63" t="s">
        <v>6</v>
      </c>
      <c r="B25" s="64">
        <f>SUMIF(支出明细2602[分类],"房租",支出明细2602[支出明细])</f>
        <v>4333</v>
      </c>
      <c r="C25" s="65">
        <f>$B$25/$B$4</f>
        <v>0.107444465742127</v>
      </c>
    </row>
    <row r="26" customHeight="1" spans="1:3">
      <c r="A26" s="58" t="s">
        <v>32</v>
      </c>
      <c r="B26" s="59">
        <f>SUMIF(支出明细2602[分类],"推广",支出明细2602[支出明细])</f>
        <v>600</v>
      </c>
      <c r="C26" s="60">
        <f>$B$26/$B$4</f>
        <v>0.0148780704927939</v>
      </c>
    </row>
    <row r="27" customHeight="1" spans="1:3">
      <c r="A27" s="63" t="s">
        <v>37</v>
      </c>
      <c r="B27" s="64">
        <f>SUMIF(支出明细2602[分类],"水电",支出明细2602[支出明细])</f>
        <v>2977.41</v>
      </c>
      <c r="C27" s="65">
        <f>$B$27/$B$4</f>
        <v>0.073830193109916</v>
      </c>
    </row>
    <row r="28" customHeight="1" spans="1:3">
      <c r="A28" s="58" t="s">
        <v>14</v>
      </c>
      <c r="B28" s="59">
        <f>SUMIF(支出明细2602[分类],"其他",支出明细2602[支出明细])</f>
        <v>33.6</v>
      </c>
      <c r="C28" s="60">
        <f>$B$28/$B$4</f>
        <v>0.00083317194759646</v>
      </c>
    </row>
    <row r="29" customHeight="1" spans="1:3">
      <c r="A29" s="71" t="s">
        <v>65</v>
      </c>
      <c r="B29" s="72">
        <f>SUM(支出明细2602[支出明细])</f>
        <v>40327.81</v>
      </c>
      <c r="C29" s="73">
        <f>SUM($C$23:$C$28)</f>
        <v>1</v>
      </c>
    </row>
    <row r="32" customHeight="1" spans="1:3">
      <c r="A32" s="74" t="s">
        <v>69</v>
      </c>
      <c r="B32" s="49" t="s">
        <v>4</v>
      </c>
      <c r="C32" s="75" t="s">
        <v>5</v>
      </c>
    </row>
    <row r="33" customHeight="1" spans="1:3">
      <c r="A33" s="76">
        <v>6683.96</v>
      </c>
      <c r="B33" s="49" t="s">
        <v>62</v>
      </c>
      <c r="C33" s="77"/>
    </row>
    <row r="34" customHeight="1" spans="1:3">
      <c r="A34" s="76">
        <v>1861.8</v>
      </c>
      <c r="B34" s="49" t="s">
        <v>63</v>
      </c>
      <c r="C34" s="77"/>
    </row>
    <row r="35" customHeight="1" spans="1:3">
      <c r="A35" s="76">
        <v>0</v>
      </c>
      <c r="B35" s="49" t="s">
        <v>64</v>
      </c>
      <c r="C35" s="77" t="s">
        <v>70</v>
      </c>
    </row>
    <row r="36" customHeight="1" spans="1:3">
      <c r="A36" s="76">
        <v>19919.1</v>
      </c>
      <c r="B36" s="49" t="s">
        <v>60</v>
      </c>
      <c r="C36" s="77"/>
    </row>
    <row r="37" customHeight="1" spans="1:3">
      <c r="A37" s="76">
        <v>13970.88</v>
      </c>
      <c r="B37" s="49" t="s">
        <v>61</v>
      </c>
      <c r="C37" s="77"/>
    </row>
    <row r="40" customHeight="1" spans="1:4">
      <c r="A40" s="78" t="s">
        <v>71</v>
      </c>
      <c r="B40" s="75" t="s">
        <v>4</v>
      </c>
      <c r="C40" s="77" t="s">
        <v>5</v>
      </c>
      <c r="D40" s="4"/>
    </row>
    <row r="41" customHeight="1" spans="1:4">
      <c r="A41" s="78">
        <v>4333</v>
      </c>
      <c r="B41" s="75" t="s">
        <v>6</v>
      </c>
      <c r="C41" s="77" t="s">
        <v>72</v>
      </c>
      <c r="D41" s="4"/>
    </row>
    <row r="42" customHeight="1" spans="1:4">
      <c r="A42" s="78">
        <v>8500</v>
      </c>
      <c r="B42" s="75" t="s">
        <v>68</v>
      </c>
      <c r="C42" s="77" t="s">
        <v>73</v>
      </c>
      <c r="D42" s="4"/>
    </row>
    <row r="43" customHeight="1" spans="1:4">
      <c r="A43" s="78">
        <v>1000</v>
      </c>
      <c r="B43" s="75" t="s">
        <v>25</v>
      </c>
      <c r="C43" s="77" t="s">
        <v>26</v>
      </c>
      <c r="D43" s="4"/>
    </row>
    <row r="44" customHeight="1" spans="1:4">
      <c r="A44" s="78">
        <v>13260</v>
      </c>
      <c r="B44" s="75" t="s">
        <v>25</v>
      </c>
      <c r="C44" s="77" t="s">
        <v>27</v>
      </c>
      <c r="D44" s="4"/>
    </row>
    <row r="45" customHeight="1" spans="1:4">
      <c r="A45" s="78">
        <v>600</v>
      </c>
      <c r="B45" s="75" t="s">
        <v>32</v>
      </c>
      <c r="C45" s="77" t="s">
        <v>34</v>
      </c>
      <c r="D45" s="4"/>
    </row>
    <row r="46" customHeight="1" spans="1:4">
      <c r="A46" s="78">
        <v>938</v>
      </c>
      <c r="B46" s="75" t="s">
        <v>25</v>
      </c>
      <c r="C46" s="77" t="s">
        <v>35</v>
      </c>
      <c r="D46" s="4"/>
    </row>
    <row r="47" customHeight="1" spans="1:4">
      <c r="A47" s="78">
        <v>1000</v>
      </c>
      <c r="B47" s="75" t="s">
        <v>25</v>
      </c>
      <c r="C47" s="77" t="s">
        <v>26</v>
      </c>
      <c r="D47" s="4"/>
    </row>
    <row r="48" customHeight="1" spans="1:4">
      <c r="A48" s="78">
        <v>60.5</v>
      </c>
      <c r="B48" s="75" t="s">
        <v>25</v>
      </c>
      <c r="C48" s="77" t="s">
        <v>36</v>
      </c>
      <c r="D48" s="4"/>
    </row>
    <row r="49" customHeight="1" spans="1:4">
      <c r="A49" s="78">
        <v>162.41</v>
      </c>
      <c r="B49" s="75" t="s">
        <v>37</v>
      </c>
      <c r="C49" s="77" t="s">
        <v>74</v>
      </c>
      <c r="D49" s="4"/>
    </row>
    <row r="50" customHeight="1" spans="1:4">
      <c r="A50" s="78">
        <v>2815</v>
      </c>
      <c r="B50" s="75" t="s">
        <v>37</v>
      </c>
      <c r="C50" s="77" t="s">
        <v>75</v>
      </c>
      <c r="D50" s="4"/>
    </row>
    <row r="51" customHeight="1" spans="1:4">
      <c r="A51" s="78">
        <v>42.16</v>
      </c>
      <c r="B51" s="75" t="s">
        <v>25</v>
      </c>
      <c r="C51" s="77" t="s">
        <v>35</v>
      </c>
      <c r="D51" s="4"/>
    </row>
    <row r="52" customHeight="1" spans="1:4">
      <c r="A52" s="78">
        <v>1000</v>
      </c>
      <c r="B52" s="75" t="s">
        <v>25</v>
      </c>
      <c r="C52" s="77" t="s">
        <v>26</v>
      </c>
      <c r="D52" s="4"/>
    </row>
    <row r="53" customHeight="1" spans="1:4">
      <c r="A53" s="78">
        <v>1300</v>
      </c>
      <c r="B53" s="75" t="s">
        <v>25</v>
      </c>
      <c r="C53" s="77" t="s">
        <v>76</v>
      </c>
      <c r="D53" s="4"/>
    </row>
    <row r="54" customHeight="1" spans="1:4">
      <c r="A54" s="78">
        <v>253.84</v>
      </c>
      <c r="B54" s="75" t="s">
        <v>25</v>
      </c>
      <c r="C54" s="77" t="s">
        <v>36</v>
      </c>
      <c r="D54" s="4"/>
    </row>
    <row r="55" customHeight="1" spans="1:4">
      <c r="A55" s="78">
        <v>1000</v>
      </c>
      <c r="B55" s="75" t="s">
        <v>25</v>
      </c>
      <c r="C55" s="77" t="s">
        <v>26</v>
      </c>
      <c r="D55" s="4"/>
    </row>
    <row r="56" customHeight="1" spans="1:4">
      <c r="A56" s="78">
        <v>355.3</v>
      </c>
      <c r="B56" s="75" t="s">
        <v>25</v>
      </c>
      <c r="C56" s="77" t="s">
        <v>36</v>
      </c>
      <c r="D56" s="4"/>
    </row>
    <row r="57" customHeight="1" spans="1:4">
      <c r="A57" s="78">
        <v>3000</v>
      </c>
      <c r="B57" s="75" t="s">
        <v>25</v>
      </c>
      <c r="C57" s="77" t="s">
        <v>41</v>
      </c>
      <c r="D57" s="4"/>
    </row>
    <row r="58" customHeight="1" spans="1:4">
      <c r="A58" s="78">
        <v>174</v>
      </c>
      <c r="B58" s="75" t="s">
        <v>25</v>
      </c>
      <c r="C58" s="77" t="s">
        <v>36</v>
      </c>
      <c r="D58" s="4"/>
    </row>
    <row r="59" customHeight="1" spans="1:4">
      <c r="A59" s="78">
        <v>33.6</v>
      </c>
      <c r="B59" s="75" t="s">
        <v>14</v>
      </c>
      <c r="C59" s="77" t="s">
        <v>42</v>
      </c>
      <c r="D59" s="4"/>
    </row>
    <row r="60" customHeight="1" spans="1:4">
      <c r="A60" s="78">
        <v>500</v>
      </c>
      <c r="B60" s="75" t="s">
        <v>25</v>
      </c>
      <c r="C60" s="77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1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3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4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5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6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7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7"/>
      <c r="B40" s="35"/>
      <c r="C40" s="36"/>
    </row>
    <row r="41" customHeight="1" spans="1:3">
      <c r="A41" s="48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40" customWidth="1"/>
    <col min="2" max="2" width="30.6634615384615" style="2" customWidth="1"/>
    <col min="3" max="16384" width="30.6634615384615" style="2"/>
  </cols>
  <sheetData>
    <row r="1" customHeight="1" spans="1:3">
      <c r="A1" s="41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2"/>
      <c r="B9" s="4"/>
      <c r="C9" s="4"/>
    </row>
    <row r="10" customHeight="1" spans="1:3">
      <c r="A10" s="42"/>
      <c r="B10" s="4"/>
      <c r="C10" s="4"/>
    </row>
    <row r="11" customHeight="1" spans="1:3">
      <c r="A11" s="43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4" t="s">
        <v>65</v>
      </c>
      <c r="B19" s="21">
        <f>SUM(B13:B17)</f>
        <v>50429.93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5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6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40" customWidth="1"/>
    <col min="2" max="2" width="30.6634615384615" style="2" customWidth="1"/>
    <col min="3" max="16384" width="30.6634615384615" style="2"/>
  </cols>
  <sheetData>
    <row r="1" customHeight="1" spans="1:3">
      <c r="A1" s="41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2"/>
      <c r="B9" s="4"/>
      <c r="C9" s="4"/>
    </row>
    <row r="10" customHeight="1" spans="1:3">
      <c r="A10" s="42"/>
      <c r="B10" s="4"/>
      <c r="C10" s="4"/>
    </row>
    <row r="11" customHeight="1" spans="1:3">
      <c r="A11" s="43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4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5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6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5"/>
  <sheetViews>
    <sheetView topLeftCell="A33" workbookViewId="0">
      <selection activeCell="C17" sqref="C1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37532.49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39816.83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18591.06</v>
      </c>
      <c r="C5" s="15" t="s">
        <v>49</v>
      </c>
    </row>
    <row r="6" customHeight="1" spans="1:3">
      <c r="A6" s="13" t="s">
        <v>52</v>
      </c>
      <c r="B6" s="14">
        <f>$B$3-$B$4</f>
        <v>-2284.34</v>
      </c>
      <c r="C6" s="15" t="s">
        <v>49</v>
      </c>
    </row>
    <row r="7" customHeight="1" spans="1:3">
      <c r="A7" s="13" t="s">
        <v>53</v>
      </c>
      <c r="B7" s="16">
        <f>$B$5/$B$3</f>
        <v>0.495332443970544</v>
      </c>
      <c r="C7" s="15" t="s">
        <v>54</v>
      </c>
    </row>
    <row r="8" customHeight="1" spans="1:3">
      <c r="A8" s="13" t="s">
        <v>55</v>
      </c>
      <c r="B8" s="16">
        <f>$B$6/$B$3</f>
        <v>-0.0608630016287221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10910.2</v>
      </c>
      <c r="C13" s="16">
        <f>$B$13/$B$3</f>
        <v>0.290686815609622</v>
      </c>
    </row>
    <row r="14" customHeight="1" spans="1:3">
      <c r="A14" s="13" t="s">
        <v>61</v>
      </c>
      <c r="B14" s="14">
        <f>SUMIF(收入明细260410_12[分类],"美团外卖",收入明细260410_12[收入明细])</f>
        <v>14311.97</v>
      </c>
      <c r="C14" s="16">
        <f>$B$14/$B$3</f>
        <v>0.381322155817533</v>
      </c>
    </row>
    <row r="15" customHeight="1" spans="1:3">
      <c r="A15" s="13" t="s">
        <v>135</v>
      </c>
      <c r="B15" s="14">
        <f>SUMIF(收入明细260410_12[分类],"抖音来客",收入明细260410_12[收入明细])</f>
        <v>19.3</v>
      </c>
      <c r="C15" s="16">
        <f>$B$15/$B$3</f>
        <v>0.000514221145466235</v>
      </c>
    </row>
    <row r="16" customHeight="1" spans="1:3">
      <c r="A16" s="13" t="s">
        <v>62</v>
      </c>
      <c r="B16" s="14">
        <f>SUMIF(收入明细260410_12[分类],"微信堂食",收入明细260410_12[收入明细])</f>
        <v>5364.92</v>
      </c>
      <c r="C16" s="16">
        <f>$B$16/$B$3</f>
        <v>0.142940689519933</v>
      </c>
    </row>
    <row r="17" customHeight="1" spans="1:3">
      <c r="A17" s="13" t="s">
        <v>63</v>
      </c>
      <c r="B17" s="14">
        <f>SUMIF(收入明细260410_12[分类],"支付宝堂食",收入明细260410_12[收入明细])</f>
        <v>2808.1</v>
      </c>
      <c r="C17" s="16">
        <f>$B$17/$B$3</f>
        <v>0.0748178444862038</v>
      </c>
    </row>
    <row r="18" customHeight="1" spans="1:3">
      <c r="A18" s="13" t="s">
        <v>64</v>
      </c>
      <c r="B18" s="14">
        <f>SUMIF(收入明细260410_12[分类],"京东外卖",收入明细260410_12[收入明细])</f>
        <v>4118</v>
      </c>
      <c r="C18" s="16">
        <f>$B$18/$B$3</f>
        <v>0.109718273421241</v>
      </c>
    </row>
    <row r="19" customHeight="1" spans="1:3">
      <c r="A19" s="20" t="s">
        <v>65</v>
      </c>
      <c r="B19" s="21">
        <f>SUM(B13:B18)</f>
        <v>37532.49</v>
      </c>
      <c r="C19" s="22">
        <f>SUM($C$13:$C$18)</f>
        <v>1</v>
      </c>
    </row>
    <row r="20" customFormat="1" customHeight="1" spans="1:1">
      <c r="A20" s="38"/>
    </row>
    <row r="21" customFormat="1" customHeight="1" spans="1:1">
      <c r="A21" s="38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18941.43</v>
      </c>
      <c r="C24" s="16">
        <f>$B$24/$B$4</f>
        <v>0.47571416408589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0.301380094799109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0.108823329230378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0.0337143866048603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0.0753450236997772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0.00502300157998515</v>
      </c>
    </row>
    <row r="30" customHeight="1" spans="1:3">
      <c r="A30" s="29" t="s">
        <v>65</v>
      </c>
      <c r="B30" s="30">
        <f>SUM(B24:B29)</f>
        <v>39816.83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5364.92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2808.1</v>
      </c>
      <c r="B36" s="32" t="s">
        <v>63</v>
      </c>
      <c r="C36" s="33"/>
    </row>
    <row r="37" customHeight="1" spans="1:3">
      <c r="A37" s="34">
        <v>4118</v>
      </c>
      <c r="B37" s="32" t="s">
        <v>64</v>
      </c>
      <c r="C37" s="33"/>
    </row>
    <row r="38" customHeight="1" spans="1:3">
      <c r="A38" s="34">
        <v>10910.2</v>
      </c>
      <c r="B38" s="32" t="s">
        <v>60</v>
      </c>
      <c r="C38" s="33"/>
    </row>
    <row r="39" customHeight="1" spans="1:3">
      <c r="A39" s="34">
        <v>14311.97</v>
      </c>
      <c r="B39" s="32" t="s">
        <v>61</v>
      </c>
      <c r="C39" s="33"/>
    </row>
    <row r="40" customHeight="1" spans="1:3">
      <c r="A40" s="1">
        <v>19.3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9" t="s">
        <v>160</v>
      </c>
    </row>
    <row r="46" customHeight="1" spans="1:3">
      <c r="A46" s="1">
        <v>3000</v>
      </c>
      <c r="B46" s="33" t="s">
        <v>37</v>
      </c>
      <c r="C46" s="39" t="s">
        <v>160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8" sqref="A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abSelected="1" topLeftCell="A18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2026-03-04T11:28:00Z</dcterms:created>
  <dcterms:modified xsi:type="dcterms:W3CDTF">2026-06-29T10:49:33Z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