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4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<sst xmlns="http://schemas.openxmlformats.org/spreadsheetml/2006/main" count="690" uniqueCount="182">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</sst>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34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22" fillId="41" borderId="11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9" fillId="28" borderId="11" applyNumberFormat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0" fillId="32" borderId="12" applyNumberFormat="0" applyAlignment="0" applyProtection="0">
      <alignment vertical="center"/>
    </xf>
    <xf numFmtId="0" fontId="24" fillId="28" borderId="13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0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39275.29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1770.29000000001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0.0431298571003262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0.475615075025544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0.305535617941968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0.110323819378546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0.0141862733540605</v>
      </c>
    </row>
    <row r="28" customHeight="1" spans="1:3">
      <c r="A28" s="10" t="s">
        <v>37</v>
      </c>
      <c r="B28" s="11">
        <f>SUMIF(支出明细26049[分类],"水电",支出明细26049[支出明细])</f>
        <v>2956.2</v>
      </c>
      <c r="C28" s="12">
        <f>$B$28/$B$4</f>
        <v>0.0752686994800039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0.0190705148198778</v>
      </c>
    </row>
    <row r="30" customHeight="1" spans="1:3">
      <c r="A30" s="23" t="s">
        <v>65</v>
      </c>
      <c r="B30" s="24">
        <f>SUM(B24:B29)</f>
        <v>39275.29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2956.2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opLeftCell="A3" workbookViewId="0">
      <selection activeCell="D50" sqref="D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30770.59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-9707.59</v>
      </c>
      <c r="C5" s="10" t="s">
        <v>49</v>
      </c>
    </row>
    <row r="6" customHeight="1" spans="1:3">
      <c r="A6" s="10" t="s">
        <v>52</v>
      </c>
      <c r="B6" s="11">
        <f>$B$3-$B$4</f>
        <v>-30770.59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9707.59</v>
      </c>
      <c r="C24" s="12">
        <f>$B$24/$B$4</f>
        <v>0.315482738550025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0.389982772511024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0.140816279440856</v>
      </c>
    </row>
    <row r="27" customHeight="1" spans="1:3">
      <c r="A27" s="10" t="s">
        <v>32</v>
      </c>
      <c r="B27" s="11">
        <f>SUMIF(支出明细26049_11[分类],"推广",支出明细26049_11[支出明细])</f>
        <v>1230</v>
      </c>
      <c r="C27" s="12">
        <f>$B$27/$B$4</f>
        <v>0.03997323418238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0.113744975315715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30770.59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1">
      <c r="A54" s="26"/>
    </row>
    <row r="55" customHeight="1" spans="1:1">
      <c r="A55" s="26"/>
    </row>
    <row r="56" customHeight="1" spans="1:1">
      <c r="A56" s="26"/>
    </row>
    <row r="57" customHeight="1" spans="1:1">
      <c r="A57" s="26"/>
    </row>
    <row r="58" customHeight="1" spans="1:1">
      <c r="A58" s="26"/>
    </row>
    <row r="59" customHeight="1" spans="1:1">
      <c r="A59" s="26"/>
    </row>
    <row r="60" customHeight="1" spans="1:1">
      <c r="A60" s="26"/>
    </row>
    <row r="61" customHeight="1" spans="1:1">
      <c r="A61" s="26"/>
    </row>
    <row r="62" customHeight="1" spans="1:1">
      <c r="A62" s="26"/>
    </row>
    <row r="63" customHeight="1" spans="1:1">
      <c r="A63" s="26"/>
    </row>
    <row r="64" customHeight="1" spans="1:1">
      <c r="A64" s="26"/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2026-03-03T19:28:00Z</dcterms:created>
  <dcterms:modified xsi:type="dcterms:W3CDTF">2026-06-10T16:49:51Z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