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<sst xmlns="http://schemas.openxmlformats.org/spreadsheetml/2006/main" count="676" uniqueCount="177">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</sst>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A15" sqref="A15:C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1726.49000000001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0.0420627507273622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0.47508525756827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0.305195262657401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0.110200922757877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0.0141704703745687</v>
      </c>
    </row>
    <row r="28" customHeight="1" spans="1:3">
      <c r="A28" s="10" t="s">
        <v>37</v>
      </c>
      <c r="B28" s="11">
        <f>SUMIF(支出明细26049[分类],"水电",支出明细26049[支出明细])</f>
        <v>3000</v>
      </c>
      <c r="C28" s="12">
        <f>$B$28/$B$4</f>
        <v>0.0762988156643503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0.0190492709775328</v>
      </c>
    </row>
    <row r="30" customHeight="1" spans="1:3">
      <c r="A30" s="23" t="s">
        <v>65</v>
      </c>
      <c r="B30" s="24">
        <f>SUM(B24:B29)</f>
        <v>39319.09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3000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6" workbookViewId="0">
      <selection activeCell="A41" sqref="A41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SUMIF(支出明细26049_11[分类],"推广",支出明细26049_11[支出明细])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SUMIF(支出明细26049_11[分类],"其他",支出明细26049_11[支出明细])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6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2026-06-01T10:03:12Z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