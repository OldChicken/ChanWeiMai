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<sst xmlns="http://schemas.openxmlformats.org/spreadsheetml/2006/main" count="346" uniqueCount="107">
  <si>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</si>
  <si>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</si>
  <si>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</si>
  <si>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</si>
  <si>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</si>
  <si>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</si>
  <si>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</si>
  <si>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</si>
  <si>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</si>
  <si>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</si>
  <si>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</si>
  <si>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</si>
  <si>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</si>
  <si>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</si>
  <si>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</si>
  <si>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</si>
  <si>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</si>
  <si>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</si>
  <si>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</si>
  <si>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</si>
  <si>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</si>
  <si>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</si>
  <si>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</si>
  <si>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</si>
  <si>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</si>
  <si>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</si>
  <si>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</si>
  <si>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</si>
  <si>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</si>
  <si>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</si>
  <si>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</si>
  <si>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</si>
  <si>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</si>
  <si>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</si>
  <si>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</si>
  <si>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</si>
  <si>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</si>
  <si>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</si>
  <si>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</si>
  <si>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</si>
  <si>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</si>
  <si>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</si>
  <si>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</si>
  <si>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</si>
  <si>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</si>
  <si>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</si>
  <si>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</si>
  <si>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</si>
  <si>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</si>
  <si>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</si>
  <si>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</si>
  <si>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</si>
  <si>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</si>
  <si>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</si>
  <si>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</si>
  <si>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</si>
  <si>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</si>
  <si>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</si>
  <si>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</si>
  <si>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</si>
  <si>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</si>
  <si>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</si>
  <si>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</si>
  <si>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</si>
  <si>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</si>
  <si>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</si>
  <si>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</si>
  <si>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</si>
  <si>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</si>
  <si>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</si>
  <si>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</si>
  <si>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</si>
  <si>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</si>
  <si>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</si>
  <si>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</si>
  <si>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</si>
  <si>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</si>
  <si>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</si>
  <si>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</si>
  <si>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</si>
  <si>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</si>
  <si>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</si>
  <si>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</si>
  <si>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</si>
  <si>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</si>
  <si>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</si>
  <si>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</si>
  <si>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</si>
  <si>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</si>
  <si>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</si>
  <si>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</si>
  <si>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</si>
  <si>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</si>
  <si>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</si>
  <si>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</si>
  <si>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</si>
  <si>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</si>
  <si>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</si>
  <si>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</si>
  <si>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</si>
  <si>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</si>
  <si>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</si>
  <si>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</si>
  <si>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</si>
  <si>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</si>
  <si>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硕美进货，肉片500斤4000，小笼包50斤5500，肉燕50斤900，牛肉羹50斤850，调味料60，运费195，部分货会留到4月用</t>
  </si>
  <si>
    <t>勺子78+筷子28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</si>
</sst>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#,##0.00_ "/>
    <numFmt numFmtId="178" formatCode="0.00_);[Red]\(0.00\)"/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2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i/>
      <sz val="11"/>
      <color theme="1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6" fillId="1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21" fillId="32" borderId="7" applyNumberFormat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18" fillId="12" borderId="7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7" fillId="24" borderId="6" applyNumberFormat="0" applyAlignment="0" applyProtection="0">
      <alignment vertical="center"/>
    </xf>
    <xf numFmtId="0" fontId="13" fillId="12" borderId="4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0" fillId="30" borderId="8" applyNumberFormat="0" applyFont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0" fontId="2" fillId="0" borderId="0" xfId="0" applyFont="1"/>
    <xf numFmtId="176" fontId="1" fillId="0" borderId="0" xfId="0" applyNumberFormat="1" applyFont="1" applyAlignment="1">
      <alignment horizontal="left"/>
    </xf>
    <xf numFmtId="176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178" fontId="1" fillId="0" borderId="0" xfId="0" applyNumberFormat="1" applyFont="1" applyAlignment="1">
      <alignment horizontal="lef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9:C74" totalsRowShown="0">
  <autoFilter ref="A69:C7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5" totalsRowShown="0">
  <autoFilter ref="A6:C65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营业额明细表_7" displayName="营业额明细表_7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成本明细表_8" displayName="成本明细表_8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营业额明细表_79" displayName="营业额明细表_79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成本明细表_810" displayName="成本明细表_810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营业额明细表_7911" displayName="营业额明细表_7911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成本明细表_81012" displayName="成本明细表_81012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营业额明细表_791113" displayName="营业额明细表_791113" ref="A15:C20" totalsRowShown="0">
  <autoFilter ref="A15:C20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成本明细表_8101214" displayName="成本明细表_8101214" ref="A6:C10" totalsRowShown="0">
  <autoFilter ref="A6:C10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1" customWidth="1"/>
    <col min="2" max="2" width="20.375" customWidth="1"/>
    <col min="3" max="3" width="37.25" style="18" customWidth="1"/>
  </cols>
  <sheetData>
    <row r="1" ht="15" customHeight="1" spans="1:3">
      <c r="A1" s="1" t="s">
        <v>0</v>
      </c>
      <c r="C1" s="11">
        <v>100000</v>
      </c>
    </row>
    <row r="2" ht="15" customHeight="1" spans="1:3">
      <c r="A2" s="1" t="s">
        <v>1</v>
      </c>
      <c r="C2" s="12">
        <f>SUM(成本明细[金额(元)])</f>
        <v>99761.38</v>
      </c>
    </row>
    <row r="3" ht="15" customHeight="1" spans="1:3">
      <c r="A3" s="1" t="s">
        <v>2</v>
      </c>
      <c r="C3" s="12">
        <f>C1-C2</f>
        <v>238.619999999981</v>
      </c>
    </row>
    <row r="4" ht="15" customHeight="1"/>
    <row r="5" ht="15" customHeight="1" spans="1:3">
      <c r="A5" s="1" t="s">
        <v>3</v>
      </c>
      <c r="B5" s="7" t="s">
        <v>4</v>
      </c>
      <c r="C5" s="5" t="s">
        <v>5</v>
      </c>
    </row>
    <row r="6" ht="15" customHeight="1" spans="1:3">
      <c r="A6" s="4">
        <v>10000</v>
      </c>
      <c r="B6" t="s">
        <v>6</v>
      </c>
      <c r="C6" s="5" t="s">
        <v>7</v>
      </c>
    </row>
    <row r="7" ht="15" customHeight="1" spans="1:3">
      <c r="A7" s="4">
        <v>26000</v>
      </c>
      <c r="B7" t="s">
        <v>6</v>
      </c>
      <c r="C7" s="5" t="s">
        <v>8</v>
      </c>
    </row>
    <row r="8" ht="15" customHeight="1" spans="1:3">
      <c r="A8" s="4">
        <v>6000</v>
      </c>
      <c r="B8" t="s">
        <v>9</v>
      </c>
      <c r="C8" s="5" t="s">
        <v>10</v>
      </c>
    </row>
    <row r="9" ht="15" customHeight="1" spans="1:3">
      <c r="A9" s="4">
        <v>3000</v>
      </c>
      <c r="B9" t="s">
        <v>9</v>
      </c>
      <c r="C9" s="5" t="s">
        <v>11</v>
      </c>
    </row>
    <row r="10" ht="15" customHeight="1" spans="1:3">
      <c r="A10" s="4">
        <v>2100</v>
      </c>
      <c r="B10" t="s">
        <v>9</v>
      </c>
      <c r="C10" s="5" t="s">
        <v>12</v>
      </c>
    </row>
    <row r="11" ht="15" customHeight="1" spans="1:3">
      <c r="A11" s="4">
        <v>340</v>
      </c>
      <c r="B11" t="s">
        <v>9</v>
      </c>
      <c r="C11" s="5" t="s">
        <v>13</v>
      </c>
    </row>
    <row r="12" ht="15" customHeight="1" spans="1:3">
      <c r="A12" s="4">
        <v>200</v>
      </c>
      <c r="B12" t="s">
        <v>14</v>
      </c>
      <c r="C12" s="5" t="s">
        <v>15</v>
      </c>
    </row>
    <row r="13" ht="15" customHeight="1" spans="1:3">
      <c r="A13" s="4">
        <v>11000</v>
      </c>
      <c r="B13" t="s">
        <v>16</v>
      </c>
      <c r="C13" s="5" t="s">
        <v>17</v>
      </c>
    </row>
    <row r="14" ht="15" customHeight="1" spans="1:3">
      <c r="A14" s="4">
        <v>5000</v>
      </c>
      <c r="B14" t="s">
        <v>9</v>
      </c>
      <c r="C14" s="5" t="s">
        <v>18</v>
      </c>
    </row>
    <row r="15" ht="15" customHeight="1" spans="1:3">
      <c r="A15" s="4">
        <v>755</v>
      </c>
      <c r="B15" t="s">
        <v>16</v>
      </c>
      <c r="C15" s="5" t="s">
        <v>19</v>
      </c>
    </row>
    <row r="16" ht="15" customHeight="1" spans="1:3">
      <c r="A16" s="4">
        <v>190</v>
      </c>
      <c r="B16" t="s">
        <v>9</v>
      </c>
      <c r="C16" s="5" t="s">
        <v>20</v>
      </c>
    </row>
    <row r="17" ht="15" customHeight="1" spans="1:3">
      <c r="A17" s="4">
        <v>405.9</v>
      </c>
      <c r="B17" t="s">
        <v>16</v>
      </c>
      <c r="C17" s="5" t="s">
        <v>21</v>
      </c>
    </row>
    <row r="18" ht="15" customHeight="1" spans="1:3">
      <c r="A18" s="4">
        <v>228</v>
      </c>
      <c r="B18" t="s">
        <v>16</v>
      </c>
      <c r="C18" s="5" t="s">
        <v>22</v>
      </c>
    </row>
    <row r="19" ht="15" customHeight="1" spans="1:3">
      <c r="A19" s="4">
        <v>639.5</v>
      </c>
      <c r="B19" t="s">
        <v>16</v>
      </c>
      <c r="C19" s="5" t="s">
        <v>23</v>
      </c>
    </row>
    <row r="20" ht="15" customHeight="1" spans="1:3">
      <c r="A20" s="4">
        <v>1259.1</v>
      </c>
      <c r="B20" t="s">
        <v>16</v>
      </c>
      <c r="C20" s="5" t="s">
        <v>24</v>
      </c>
    </row>
    <row r="21" ht="15" customHeight="1" spans="1:3">
      <c r="A21" s="4">
        <v>1000</v>
      </c>
      <c r="B21" t="s">
        <v>25</v>
      </c>
      <c r="C21" s="18" t="s">
        <v>26</v>
      </c>
    </row>
    <row r="22" ht="15" customHeight="1" spans="1:3">
      <c r="A22" s="4">
        <v>13260</v>
      </c>
      <c r="B22" t="s">
        <v>25</v>
      </c>
      <c r="C22" s="5" t="s">
        <v>27</v>
      </c>
    </row>
    <row r="23" ht="15" customHeight="1" spans="1:3">
      <c r="A23" s="4">
        <v>47.97</v>
      </c>
      <c r="B23" t="s">
        <v>14</v>
      </c>
      <c r="C23" s="5" t="s">
        <v>28</v>
      </c>
    </row>
    <row r="24" ht="15" customHeight="1" spans="1:3">
      <c r="A24" s="4">
        <v>276.1</v>
      </c>
      <c r="B24" t="s">
        <v>14</v>
      </c>
      <c r="C24" s="5" t="s">
        <v>29</v>
      </c>
    </row>
    <row r="25" ht="15" customHeight="1" spans="1:3">
      <c r="A25" s="4">
        <v>6000</v>
      </c>
      <c r="B25" t="s">
        <v>9</v>
      </c>
      <c r="C25" s="18" t="s">
        <v>30</v>
      </c>
    </row>
    <row r="26" ht="15" customHeight="1" spans="1:3">
      <c r="A26" s="4">
        <v>640</v>
      </c>
      <c r="B26" t="s">
        <v>9</v>
      </c>
      <c r="C26" s="18" t="s">
        <v>31</v>
      </c>
    </row>
    <row r="27" ht="15" customHeight="1" spans="1:3">
      <c r="A27" s="4">
        <v>500</v>
      </c>
      <c r="B27" t="s">
        <v>32</v>
      </c>
      <c r="C27" s="18" t="s">
        <v>33</v>
      </c>
    </row>
    <row r="28" ht="15" customHeight="1" spans="1:3">
      <c r="A28" s="4">
        <v>600</v>
      </c>
      <c r="B28" t="s">
        <v>32</v>
      </c>
      <c r="C28" s="18" t="s">
        <v>34</v>
      </c>
    </row>
    <row r="29" ht="15" customHeight="1" spans="1:3">
      <c r="A29" s="4">
        <v>938</v>
      </c>
      <c r="B29" t="s">
        <v>25</v>
      </c>
      <c r="C29" s="18" t="s">
        <v>35</v>
      </c>
    </row>
    <row r="30" ht="15" customHeight="1" spans="1:3">
      <c r="A30" s="4">
        <v>1000</v>
      </c>
      <c r="B30" t="s">
        <v>25</v>
      </c>
      <c r="C30" s="18" t="s">
        <v>26</v>
      </c>
    </row>
    <row r="31" ht="15" customHeight="1" spans="1:3">
      <c r="A31" s="4">
        <v>60.5</v>
      </c>
      <c r="B31" t="s">
        <v>25</v>
      </c>
      <c r="C31" s="18" t="s">
        <v>36</v>
      </c>
    </row>
    <row r="32" ht="15" customHeight="1" spans="1:3">
      <c r="A32" s="4">
        <v>162.41</v>
      </c>
      <c r="B32" t="s">
        <v>37</v>
      </c>
      <c r="C32" s="18" t="s">
        <v>38</v>
      </c>
    </row>
    <row r="33" ht="15" customHeight="1" spans="1:3">
      <c r="A33" s="4">
        <v>42.16</v>
      </c>
      <c r="B33" t="s">
        <v>25</v>
      </c>
      <c r="C33" s="18" t="s">
        <v>35</v>
      </c>
    </row>
    <row r="34" ht="15" customHeight="1" spans="1:3">
      <c r="A34" s="4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1" t="s">
        <v>43</v>
      </c>
      <c r="B1" s="2">
        <f>SUM(成本明细表_6[成本明细])</f>
        <v>37512.81</v>
      </c>
    </row>
    <row r="2" customHeight="1" spans="1:2">
      <c r="A2" s="1" t="s">
        <v>44</v>
      </c>
      <c r="B2" s="2">
        <f>SUM(营业额明细表_5[营业额明细])</f>
        <v>42435.74</v>
      </c>
    </row>
    <row r="3" customHeight="1" spans="1:2">
      <c r="A3" s="1" t="s">
        <v>45</v>
      </c>
      <c r="B3" s="2">
        <f>B2-B1</f>
        <v>4922.92999999999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4">
        <v>4333</v>
      </c>
      <c r="B7" s="5" t="s">
        <v>6</v>
      </c>
      <c r="C7" s="5" t="s">
        <v>47</v>
      </c>
    </row>
    <row r="8" customHeight="1" spans="1:3">
      <c r="A8" s="4">
        <v>8500</v>
      </c>
      <c r="B8" s="5" t="s">
        <v>48</v>
      </c>
      <c r="C8" s="5" t="s">
        <v>49</v>
      </c>
    </row>
    <row r="9" customHeight="1" spans="1:3">
      <c r="A9" s="4">
        <v>1000</v>
      </c>
      <c r="B9" s="5" t="s">
        <v>25</v>
      </c>
      <c r="C9" s="5" t="s">
        <v>26</v>
      </c>
    </row>
    <row r="10" customHeight="1" spans="1:3">
      <c r="A10" s="4">
        <v>13260</v>
      </c>
      <c r="B10" s="5" t="s">
        <v>25</v>
      </c>
      <c r="C10" s="5" t="s">
        <v>27</v>
      </c>
    </row>
    <row r="11" customHeight="1" spans="1:3">
      <c r="A11" s="4">
        <v>600</v>
      </c>
      <c r="B11" s="5" t="s">
        <v>32</v>
      </c>
      <c r="C11" s="5" t="s">
        <v>34</v>
      </c>
    </row>
    <row r="12" customHeight="1" spans="1:3">
      <c r="A12" s="4">
        <v>938</v>
      </c>
      <c r="B12" s="5" t="s">
        <v>25</v>
      </c>
      <c r="C12" s="5" t="s">
        <v>35</v>
      </c>
    </row>
    <row r="13" customHeight="1" spans="1:3">
      <c r="A13" s="4">
        <v>1000</v>
      </c>
      <c r="B13" s="5" t="s">
        <v>25</v>
      </c>
      <c r="C13" s="5" t="s">
        <v>26</v>
      </c>
    </row>
    <row r="14" customHeight="1" spans="1:3">
      <c r="A14" s="4">
        <v>60.5</v>
      </c>
      <c r="B14" s="5" t="s">
        <v>25</v>
      </c>
      <c r="C14" s="5" t="s">
        <v>36</v>
      </c>
    </row>
    <row r="15" customHeight="1" spans="1:3">
      <c r="A15" s="4">
        <v>162.41</v>
      </c>
      <c r="B15" s="5" t="s">
        <v>37</v>
      </c>
      <c r="C15" s="5" t="s">
        <v>38</v>
      </c>
    </row>
    <row r="16" customHeight="1" spans="1:3">
      <c r="A16" s="4">
        <v>42.16</v>
      </c>
      <c r="B16" s="5" t="s">
        <v>25</v>
      </c>
      <c r="C16" s="5" t="s">
        <v>35</v>
      </c>
    </row>
    <row r="17" customHeight="1" spans="1:3">
      <c r="A17" s="4">
        <v>1000</v>
      </c>
      <c r="B17" s="5" t="s">
        <v>25</v>
      </c>
      <c r="C17" s="5" t="s">
        <v>26</v>
      </c>
    </row>
    <row r="18" customHeight="1" spans="1:3">
      <c r="A18" s="17">
        <v>1300</v>
      </c>
      <c r="B18" s="10" t="s">
        <v>25</v>
      </c>
      <c r="C18" s="10" t="s">
        <v>50</v>
      </c>
    </row>
    <row r="19" customHeight="1" spans="1:3">
      <c r="A19" s="17">
        <v>253.84</v>
      </c>
      <c r="B19" s="10" t="s">
        <v>25</v>
      </c>
      <c r="C19" s="10" t="s">
        <v>36</v>
      </c>
    </row>
    <row r="20" customHeight="1" spans="1:3">
      <c r="A20" s="17">
        <v>1000</v>
      </c>
      <c r="B20" s="10" t="s">
        <v>25</v>
      </c>
      <c r="C20" s="5" t="s">
        <v>26</v>
      </c>
    </row>
    <row r="21" customHeight="1" spans="1:3">
      <c r="A21" s="17">
        <v>355.3</v>
      </c>
      <c r="B21" s="10" t="s">
        <v>25</v>
      </c>
      <c r="C21" s="10" t="s">
        <v>36</v>
      </c>
    </row>
    <row r="22" customHeight="1" spans="1:3">
      <c r="A22" s="17">
        <v>3000</v>
      </c>
      <c r="B22" s="10" t="s">
        <v>25</v>
      </c>
      <c r="C22" s="10" t="s">
        <v>41</v>
      </c>
    </row>
    <row r="23" customHeight="1" spans="1:3">
      <c r="A23" s="17">
        <v>174</v>
      </c>
      <c r="B23" s="10" t="s">
        <v>25</v>
      </c>
      <c r="C23" s="10" t="s">
        <v>36</v>
      </c>
    </row>
    <row r="24" customHeight="1" spans="1:3">
      <c r="A24" s="17">
        <v>33.6</v>
      </c>
      <c r="B24" s="10" t="s">
        <v>14</v>
      </c>
      <c r="C24" s="10" t="s">
        <v>42</v>
      </c>
    </row>
    <row r="25" customHeight="1" spans="1:3">
      <c r="A25" s="17">
        <v>500</v>
      </c>
      <c r="B25" s="10" t="s">
        <v>25</v>
      </c>
      <c r="C25" s="10" t="s">
        <v>26</v>
      </c>
    </row>
    <row r="26" customHeight="1" spans="1:3">
      <c r="A26" s="1"/>
      <c r="B26" s="7"/>
      <c r="C26" s="5"/>
    </row>
    <row r="27" customHeight="1" spans="1:3">
      <c r="A27" s="1"/>
      <c r="B27" s="7"/>
      <c r="C27" s="5"/>
    </row>
    <row r="28" customHeight="1" spans="1:3">
      <c r="A28" s="1"/>
      <c r="B28" s="7"/>
      <c r="C28" s="5"/>
    </row>
    <row r="29" customHeight="1" spans="1:3">
      <c r="A29" s="1" t="s">
        <v>51</v>
      </c>
      <c r="B29" s="7" t="s">
        <v>4</v>
      </c>
      <c r="C29" s="5" t="s">
        <v>5</v>
      </c>
    </row>
    <row r="30" customHeight="1" spans="1:3">
      <c r="A30" s="8">
        <v>6683.96</v>
      </c>
      <c r="B30" s="7" t="s">
        <v>52</v>
      </c>
      <c r="C30" s="5"/>
    </row>
    <row r="31" customHeight="1" spans="1:3">
      <c r="A31" s="8">
        <v>1861.8</v>
      </c>
      <c r="B31" s="7" t="s">
        <v>53</v>
      </c>
      <c r="C31" s="5"/>
    </row>
    <row r="32" customHeight="1" spans="1:3">
      <c r="A32" s="8">
        <v>0</v>
      </c>
      <c r="B32" s="7" t="s">
        <v>54</v>
      </c>
      <c r="C32" s="5"/>
    </row>
    <row r="33" customHeight="1" spans="1:3">
      <c r="A33" s="8">
        <v>19919.1</v>
      </c>
      <c r="B33" s="7" t="s">
        <v>55</v>
      </c>
      <c r="C33" s="5"/>
    </row>
    <row r="34" customHeight="1" spans="1:3">
      <c r="A34" s="8">
        <v>13970.88</v>
      </c>
      <c r="B34" s="7" t="s">
        <v>56</v>
      </c>
      <c r="C34" s="5"/>
    </row>
    <row r="37" customHeight="1" spans="1:3">
      <c r="A37" s="1"/>
      <c r="B37" s="2"/>
      <c r="C37" s="11"/>
    </row>
    <row r="38" customHeight="1" spans="1:3">
      <c r="A38" s="1"/>
      <c r="B38" s="2"/>
      <c r="C38" s="12"/>
    </row>
    <row r="39" customHeight="1" spans="1:3">
      <c r="A39" s="1"/>
      <c r="C39" s="12"/>
    </row>
    <row r="43" customHeight="1" spans="1:3">
      <c r="A43" s="1"/>
      <c r="B43" s="7"/>
      <c r="C43" s="5"/>
    </row>
    <row r="44" customHeight="1" spans="1:3">
      <c r="A44" s="8"/>
      <c r="B44" s="7"/>
      <c r="C44" s="5"/>
    </row>
    <row r="45" customHeight="1" spans="1:3">
      <c r="A45" s="8"/>
      <c r="B45" s="7"/>
      <c r="C45" s="5"/>
    </row>
    <row r="46" customHeight="1" spans="1:3">
      <c r="A46" s="8"/>
      <c r="B46" s="7"/>
      <c r="C46" s="5"/>
    </row>
    <row r="47" customHeight="1" spans="1:3">
      <c r="A47" s="8"/>
      <c r="B47" s="7"/>
      <c r="C47" s="5"/>
    </row>
    <row r="48" customHeight="1" spans="1:3">
      <c r="A48" s="8"/>
      <c r="B48" s="7"/>
      <c r="C48" s="5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8"/>
  <sheetViews>
    <sheetView tabSelected="1" workbookViewId="0">
      <selection activeCell="C67" sqref="C6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120.826923076923" customWidth="1"/>
  </cols>
  <sheetData>
    <row r="1" customHeight="1" spans="1:2">
      <c r="A1" s="1" t="s">
        <v>43</v>
      </c>
      <c r="B1" s="2">
        <f>SUM(成本明细表[成本明细])</f>
        <v>72051.29</v>
      </c>
    </row>
    <row r="2" customHeight="1" spans="1:2">
      <c r="A2" s="1" t="s">
        <v>44</v>
      </c>
      <c r="B2" s="2">
        <f>SUM(营业额明细表[营业额明细])</f>
        <v>62886.98</v>
      </c>
    </row>
    <row r="3" customHeight="1" spans="1:2">
      <c r="A3" s="1" t="s">
        <v>45</v>
      </c>
      <c r="B3" s="3">
        <f>B2-B1</f>
        <v>-9164.30999999999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>
        <v>4140</v>
      </c>
      <c r="B10" s="5" t="s">
        <v>25</v>
      </c>
      <c r="C10" s="5" t="s">
        <v>58</v>
      </c>
    </row>
    <row r="11" customHeight="1" spans="1:3">
      <c r="A11" s="6">
        <v>7866</v>
      </c>
      <c r="B11" s="10" t="s">
        <v>25</v>
      </c>
      <c r="C11" s="10" t="s">
        <v>59</v>
      </c>
    </row>
    <row r="12" customHeight="1" spans="1:3">
      <c r="A12" s="6">
        <v>28.64</v>
      </c>
      <c r="B12" s="10" t="s">
        <v>14</v>
      </c>
      <c r="C12" s="10" t="s">
        <v>60</v>
      </c>
    </row>
    <row r="13" customHeight="1" spans="1:3">
      <c r="A13" s="6">
        <v>44.48</v>
      </c>
      <c r="B13" s="10" t="s">
        <v>25</v>
      </c>
      <c r="C13" s="10" t="s">
        <v>36</v>
      </c>
    </row>
    <row r="14" customHeight="1" spans="1:3">
      <c r="A14" s="6">
        <v>3000</v>
      </c>
      <c r="B14" s="10" t="s">
        <v>25</v>
      </c>
      <c r="C14" s="10" t="s">
        <v>26</v>
      </c>
    </row>
    <row r="15" customHeight="1" spans="1:3">
      <c r="A15" s="6">
        <v>23</v>
      </c>
      <c r="B15" s="10" t="s">
        <v>25</v>
      </c>
      <c r="C15" s="10" t="s">
        <v>61</v>
      </c>
    </row>
    <row r="16" customHeight="1" spans="1:3">
      <c r="A16" s="6">
        <v>468</v>
      </c>
      <c r="B16" s="10" t="s">
        <v>25</v>
      </c>
      <c r="C16" s="10" t="s">
        <v>62</v>
      </c>
    </row>
    <row r="17" customHeight="1" spans="1:3">
      <c r="A17" s="6">
        <v>385</v>
      </c>
      <c r="B17" s="10" t="s">
        <v>25</v>
      </c>
      <c r="C17" s="10" t="s">
        <v>63</v>
      </c>
    </row>
    <row r="18" s="13" customFormat="1" customHeight="1" spans="1:3">
      <c r="A18" s="6">
        <v>295</v>
      </c>
      <c r="B18" s="10" t="s">
        <v>25</v>
      </c>
      <c r="C18" s="10" t="s">
        <v>64</v>
      </c>
    </row>
    <row r="19" s="13" customFormat="1" customHeight="1" spans="1:3">
      <c r="A19" s="6">
        <v>718</v>
      </c>
      <c r="B19" s="10" t="s">
        <v>25</v>
      </c>
      <c r="C19" s="10" t="s">
        <v>65</v>
      </c>
    </row>
    <row r="20" s="13" customFormat="1" customHeight="1" spans="1:3">
      <c r="A20" s="6">
        <v>57.6</v>
      </c>
      <c r="B20" s="10" t="s">
        <v>25</v>
      </c>
      <c r="C20" s="10" t="s">
        <v>66</v>
      </c>
    </row>
    <row r="21" customHeight="1" spans="1:3">
      <c r="A21" s="6">
        <v>302.5</v>
      </c>
      <c r="B21" s="10" t="s">
        <v>25</v>
      </c>
      <c r="C21" s="10" t="s">
        <v>67</v>
      </c>
    </row>
    <row r="22" customHeight="1" spans="1:3">
      <c r="A22" s="6">
        <v>400</v>
      </c>
      <c r="B22" s="10" t="s">
        <v>32</v>
      </c>
      <c r="C22" s="10" t="s">
        <v>68</v>
      </c>
    </row>
    <row r="23" customHeight="1" spans="1:3">
      <c r="A23" s="14">
        <v>225</v>
      </c>
      <c r="B23" s="10" t="s">
        <v>25</v>
      </c>
      <c r="C23" s="10" t="s">
        <v>69</v>
      </c>
    </row>
    <row r="24" customHeight="1" spans="1:3">
      <c r="A24" s="14">
        <v>350</v>
      </c>
      <c r="B24" s="10" t="s">
        <v>25</v>
      </c>
      <c r="C24" s="10" t="s">
        <v>70</v>
      </c>
    </row>
    <row r="25" customHeight="1" spans="1:3">
      <c r="A25" s="14">
        <v>112</v>
      </c>
      <c r="B25" s="10" t="s">
        <v>25</v>
      </c>
      <c r="C25" s="10" t="s">
        <v>71</v>
      </c>
    </row>
    <row r="26" customHeight="1" spans="1:3">
      <c r="A26" s="14">
        <v>198</v>
      </c>
      <c r="B26" s="10" t="s">
        <v>25</v>
      </c>
      <c r="C26" s="10" t="s">
        <v>72</v>
      </c>
    </row>
    <row r="27" customHeight="1" spans="1:3">
      <c r="A27" s="14">
        <v>100</v>
      </c>
      <c r="B27" s="10" t="s">
        <v>32</v>
      </c>
      <c r="C27" s="10" t="s">
        <v>73</v>
      </c>
    </row>
    <row r="28" customHeight="1" spans="1:3">
      <c r="A28" s="14">
        <v>362</v>
      </c>
      <c r="B28" s="10" t="s">
        <v>25</v>
      </c>
      <c r="C28" s="10" t="s">
        <v>74</v>
      </c>
    </row>
    <row r="29" customHeight="1" spans="1:3">
      <c r="A29" s="14">
        <v>300</v>
      </c>
      <c r="B29" s="10" t="s">
        <v>32</v>
      </c>
      <c r="C29" s="10" t="s">
        <v>75</v>
      </c>
    </row>
    <row r="30" customHeight="1" spans="1:3">
      <c r="A30" s="14">
        <v>128</v>
      </c>
      <c r="B30" s="10" t="s">
        <v>25</v>
      </c>
      <c r="C30" s="10" t="s">
        <v>76</v>
      </c>
    </row>
    <row r="31" customHeight="1" spans="1:3">
      <c r="A31" s="14">
        <v>304.63</v>
      </c>
      <c r="B31" s="10" t="s">
        <v>25</v>
      </c>
      <c r="C31" s="10" t="s">
        <v>67</v>
      </c>
    </row>
    <row r="32" customHeight="1" spans="1:3">
      <c r="A32" s="14">
        <v>4355.5</v>
      </c>
      <c r="B32" s="10" t="s">
        <v>25</v>
      </c>
      <c r="C32" s="10" t="s">
        <v>77</v>
      </c>
    </row>
    <row r="33" customHeight="1" spans="1:3">
      <c r="A33" s="14">
        <v>-180</v>
      </c>
      <c r="B33" s="10" t="s">
        <v>25</v>
      </c>
      <c r="C33" s="10" t="s">
        <v>78</v>
      </c>
    </row>
    <row r="34" customHeight="1" spans="1:3">
      <c r="A34" s="14">
        <v>350</v>
      </c>
      <c r="B34" s="10" t="s">
        <v>25</v>
      </c>
      <c r="C34" s="10" t="s">
        <v>79</v>
      </c>
    </row>
    <row r="35" customHeight="1" spans="1:3">
      <c r="A35" s="14">
        <v>224</v>
      </c>
      <c r="B35" s="10" t="s">
        <v>25</v>
      </c>
      <c r="C35" s="10" t="s">
        <v>80</v>
      </c>
    </row>
    <row r="36" customHeight="1" spans="1:3">
      <c r="A36" s="14">
        <v>177</v>
      </c>
      <c r="B36" s="10" t="s">
        <v>25</v>
      </c>
      <c r="C36" s="10" t="s">
        <v>81</v>
      </c>
    </row>
    <row r="37" customHeight="1" spans="1:3">
      <c r="A37" s="14">
        <v>112.2</v>
      </c>
      <c r="B37" s="10" t="s">
        <v>25</v>
      </c>
      <c r="C37" s="10" t="s">
        <v>82</v>
      </c>
    </row>
    <row r="38" customHeight="1" spans="1:3">
      <c r="A38" s="14">
        <v>-896</v>
      </c>
      <c r="B38" s="10" t="s">
        <v>25</v>
      </c>
      <c r="C38" s="10" t="s">
        <v>83</v>
      </c>
    </row>
    <row r="39" customHeight="1" spans="1:3">
      <c r="A39" s="14">
        <v>1188</v>
      </c>
      <c r="B39" s="10" t="s">
        <v>25</v>
      </c>
      <c r="C39" s="10" t="s">
        <v>84</v>
      </c>
    </row>
    <row r="40" customHeight="1" spans="1:3">
      <c r="A40" s="14">
        <v>2500</v>
      </c>
      <c r="B40" s="10" t="s">
        <v>25</v>
      </c>
      <c r="C40" s="10" t="s">
        <v>85</v>
      </c>
    </row>
    <row r="41" customHeight="1" spans="1:3">
      <c r="A41" s="14">
        <v>299</v>
      </c>
      <c r="B41" s="10" t="s">
        <v>14</v>
      </c>
      <c r="C41" s="10" t="s">
        <v>86</v>
      </c>
    </row>
    <row r="42" customHeight="1" spans="1:3">
      <c r="A42" s="14">
        <v>-433</v>
      </c>
      <c r="B42" s="10" t="s">
        <v>25</v>
      </c>
      <c r="C42" s="10" t="s">
        <v>87</v>
      </c>
    </row>
    <row r="43" customHeight="1" spans="1:3">
      <c r="A43" s="14">
        <v>50</v>
      </c>
      <c r="B43" s="10" t="s">
        <v>32</v>
      </c>
      <c r="C43" s="10" t="s">
        <v>88</v>
      </c>
    </row>
    <row r="44" customHeight="1" spans="1:3">
      <c r="A44" s="14">
        <v>601.92</v>
      </c>
      <c r="B44" s="10" t="s">
        <v>25</v>
      </c>
      <c r="C44" s="10" t="s">
        <v>89</v>
      </c>
    </row>
    <row r="45" customHeight="1" spans="1:3">
      <c r="A45" s="14">
        <v>390</v>
      </c>
      <c r="B45" s="10" t="s">
        <v>25</v>
      </c>
      <c r="C45" s="10" t="s">
        <v>90</v>
      </c>
    </row>
    <row r="46" customHeight="1" spans="1:3">
      <c r="A46" s="14">
        <v>300</v>
      </c>
      <c r="B46" s="10" t="s">
        <v>37</v>
      </c>
      <c r="C46" s="10" t="s">
        <v>91</v>
      </c>
    </row>
    <row r="47" customHeight="1" spans="1:3">
      <c r="A47" s="14">
        <v>125.1</v>
      </c>
      <c r="B47" s="10" t="s">
        <v>25</v>
      </c>
      <c r="C47" s="10" t="s">
        <v>92</v>
      </c>
    </row>
    <row r="48" customHeight="1" spans="1:3">
      <c r="A48" s="14">
        <v>170</v>
      </c>
      <c r="B48" s="10" t="s">
        <v>25</v>
      </c>
      <c r="C48" s="10" t="s">
        <v>93</v>
      </c>
    </row>
    <row r="49" customHeight="1" spans="1:3">
      <c r="A49" s="14">
        <v>1486.65</v>
      </c>
      <c r="B49" s="10" t="s">
        <v>14</v>
      </c>
      <c r="C49" s="10" t="s">
        <v>94</v>
      </c>
    </row>
    <row r="50" customHeight="1" spans="1:3">
      <c r="A50" s="14">
        <v>198</v>
      </c>
      <c r="B50" s="10" t="s">
        <v>25</v>
      </c>
      <c r="C50" s="10" t="s">
        <v>72</v>
      </c>
    </row>
    <row r="51" customHeight="1" spans="1:3">
      <c r="A51" s="14">
        <v>308</v>
      </c>
      <c r="B51" s="10" t="s">
        <v>25</v>
      </c>
      <c r="C51" s="10" t="s">
        <v>95</v>
      </c>
    </row>
    <row r="52" customHeight="1" spans="1:3">
      <c r="A52" s="14">
        <v>7560</v>
      </c>
      <c r="B52" s="10" t="s">
        <v>25</v>
      </c>
      <c r="C52" s="10" t="s">
        <v>96</v>
      </c>
    </row>
    <row r="53" customHeight="1" spans="1:3">
      <c r="A53" s="14">
        <v>500</v>
      </c>
      <c r="B53" s="10" t="s">
        <v>25</v>
      </c>
      <c r="C53" s="10" t="s">
        <v>26</v>
      </c>
    </row>
    <row r="54" customHeight="1" spans="1:3">
      <c r="A54" s="14">
        <v>195</v>
      </c>
      <c r="B54" s="10" t="s">
        <v>25</v>
      </c>
      <c r="C54" s="10" t="s">
        <v>97</v>
      </c>
    </row>
    <row r="55" customHeight="1" spans="1:3">
      <c r="A55" s="14">
        <v>33.9</v>
      </c>
      <c r="B55" s="10" t="s">
        <v>14</v>
      </c>
      <c r="C55" s="10" t="s">
        <v>98</v>
      </c>
    </row>
    <row r="56" customHeight="1" spans="1:3">
      <c r="A56" s="14">
        <v>1410</v>
      </c>
      <c r="B56" s="10" t="s">
        <v>25</v>
      </c>
      <c r="C56" s="10" t="s">
        <v>99</v>
      </c>
    </row>
    <row r="57" customHeight="1" spans="1:3">
      <c r="A57" s="14">
        <v>81.65</v>
      </c>
      <c r="B57" s="10" t="s">
        <v>14</v>
      </c>
      <c r="C57" s="10" t="s">
        <v>100</v>
      </c>
    </row>
    <row r="58" customHeight="1" spans="1:3">
      <c r="A58" s="14">
        <v>551.92</v>
      </c>
      <c r="B58" s="10" t="s">
        <v>25</v>
      </c>
      <c r="C58" s="10" t="s">
        <v>36</v>
      </c>
    </row>
    <row r="59" customHeight="1" spans="1:3">
      <c r="A59" s="14">
        <v>246</v>
      </c>
      <c r="B59" s="10" t="s">
        <v>25</v>
      </c>
      <c r="C59" s="10" t="s">
        <v>101</v>
      </c>
    </row>
    <row r="60" customHeight="1" spans="1:3">
      <c r="A60" s="14">
        <v>244.6</v>
      </c>
      <c r="B60" s="10" t="s">
        <v>25</v>
      </c>
      <c r="C60" s="10" t="s">
        <v>102</v>
      </c>
    </row>
    <row r="61" customHeight="1" spans="1:3">
      <c r="A61" s="14">
        <v>500</v>
      </c>
      <c r="B61" s="10" t="s">
        <v>25</v>
      </c>
      <c r="C61" s="10" t="s">
        <v>26</v>
      </c>
    </row>
    <row r="62" customHeight="1" spans="1:3">
      <c r="A62" s="14">
        <v>480</v>
      </c>
      <c r="B62" s="10" t="s">
        <v>25</v>
      </c>
      <c r="C62" s="10" t="s">
        <v>103</v>
      </c>
    </row>
    <row r="63" customHeight="1" spans="1:3">
      <c r="A63" s="14">
        <v>120</v>
      </c>
      <c r="B63" s="10" t="s">
        <v>25</v>
      </c>
      <c r="C63" s="10" t="s">
        <v>104</v>
      </c>
    </row>
    <row r="64" customHeight="1" spans="1:3">
      <c r="A64" s="14">
        <v>6555</v>
      </c>
      <c r="B64" s="10" t="s">
        <v>25</v>
      </c>
      <c r="C64" s="10" t="s">
        <v>105</v>
      </c>
    </row>
    <row r="65" customHeight="1" spans="1:3">
      <c r="A65" s="15">
        <v>106</v>
      </c>
      <c r="B65" s="16" t="s">
        <v>25</v>
      </c>
      <c r="C65" s="16" t="s">
        <v>106</v>
      </c>
    </row>
    <row r="66" customHeight="1" spans="1:3">
      <c r="A66" s="1"/>
      <c r="B66" s="7"/>
      <c r="C66" s="5"/>
    </row>
    <row r="67" customHeight="1" spans="1:3">
      <c r="A67" s="1"/>
      <c r="B67" s="7"/>
      <c r="C67" s="5"/>
    </row>
    <row r="68" customHeight="1" spans="1:3">
      <c r="A68" s="1"/>
      <c r="B68" s="7"/>
      <c r="C68" s="5"/>
    </row>
    <row r="69" customHeight="1" spans="1:3">
      <c r="A69" s="1" t="s">
        <v>51</v>
      </c>
      <c r="B69" s="7" t="s">
        <v>4</v>
      </c>
      <c r="C69" s="5" t="s">
        <v>5</v>
      </c>
    </row>
    <row r="70" customHeight="1" spans="1:3">
      <c r="A70" s="8">
        <v>7188.25</v>
      </c>
      <c r="B70" s="7" t="s">
        <v>52</v>
      </c>
      <c r="C70" s="5"/>
    </row>
    <row r="71" customHeight="1" spans="1:3">
      <c r="A71" s="8">
        <v>1969.46</v>
      </c>
      <c r="B71" s="7" t="s">
        <v>53</v>
      </c>
      <c r="C71" s="5"/>
    </row>
    <row r="72" customHeight="1" spans="1:3">
      <c r="A72" s="8">
        <v>7661.27</v>
      </c>
      <c r="B72" s="7" t="s">
        <v>54</v>
      </c>
      <c r="C72" s="5"/>
    </row>
    <row r="73" customHeight="1" spans="1:3">
      <c r="A73" s="8">
        <v>21389.5</v>
      </c>
      <c r="B73" s="7" t="s">
        <v>55</v>
      </c>
      <c r="C73" s="5"/>
    </row>
    <row r="74" customHeight="1" spans="1:3">
      <c r="A74" s="9">
        <v>24678.5</v>
      </c>
      <c r="B74" s="7" t="s">
        <v>56</v>
      </c>
      <c r="C74" s="10"/>
    </row>
    <row r="76" customHeight="1" spans="1:3">
      <c r="A76" s="1"/>
      <c r="B76" s="2"/>
      <c r="C76" s="11"/>
    </row>
    <row r="77" customHeight="1" spans="1:3">
      <c r="A77" s="1"/>
      <c r="B77" s="2"/>
      <c r="C77" s="12"/>
    </row>
    <row r="78" customHeight="1" spans="1:3">
      <c r="A78" s="1"/>
      <c r="C78" s="12"/>
    </row>
  </sheetData>
  <dataValidations count="1">
    <dataValidation type="list" allowBlank="1" showInputMessage="1" showErrorMessage="1" sqref="B9 B52 B53 B54 B55 B56 B57 B58 B59 B60 B61 B62 B63 B64 B65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SUM(成本明细表_8[成本明细])</f>
        <v>22333</v>
      </c>
    </row>
    <row r="2" customHeight="1" spans="1:2">
      <c r="A2" s="1" t="s">
        <v>44</v>
      </c>
      <c r="B2" s="2">
        <f>SUM(营业额明细表_7[营业额明细])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4" sqref="C34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SUM(成本明细表_810[成本明细])</f>
        <v>22333</v>
      </c>
    </row>
    <row r="2" customHeight="1" spans="1:2">
      <c r="A2" s="1" t="s">
        <v>44</v>
      </c>
      <c r="B2" s="2">
        <f>SUM(营业额明细表_79[营业额明细])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SUM(成本明细表_81012[成本明细])</f>
        <v>22333</v>
      </c>
    </row>
    <row r="2" customHeight="1" spans="1:2">
      <c r="A2" s="1" t="s">
        <v>44</v>
      </c>
      <c r="B2" s="2">
        <f>SUM(营业额明细表_7911[营业额明细])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4"/>
  <sheetViews>
    <sheetView workbookViewId="0">
      <selection activeCell="C37" sqref="C37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1" t="s">
        <v>43</v>
      </c>
      <c r="B1" s="2">
        <f>SUM(成本明细表_8101214[成本明细])</f>
        <v>22333</v>
      </c>
    </row>
    <row r="2" customHeight="1" spans="1:2">
      <c r="A2" s="1" t="s">
        <v>44</v>
      </c>
      <c r="B2" s="2">
        <f>SUM(营业额明细表_791113[营业额明细])</f>
        <v>0</v>
      </c>
    </row>
    <row r="3" customHeight="1" spans="1:2">
      <c r="A3" s="1" t="s">
        <v>45</v>
      </c>
      <c r="B3" s="3">
        <f>B2-B1</f>
        <v>-22333</v>
      </c>
    </row>
    <row r="6" customHeight="1" spans="1:3">
      <c r="A6" s="4" t="s">
        <v>46</v>
      </c>
      <c r="B6" s="5" t="s">
        <v>4</v>
      </c>
      <c r="C6" s="5" t="s">
        <v>5</v>
      </c>
    </row>
    <row r="7" customHeight="1" spans="1:3">
      <c r="A7" s="6">
        <v>4333</v>
      </c>
      <c r="B7" s="5" t="s">
        <v>6</v>
      </c>
      <c r="C7" s="5" t="s">
        <v>47</v>
      </c>
    </row>
    <row r="8" customHeight="1" spans="1:3">
      <c r="A8" s="6">
        <v>15000</v>
      </c>
      <c r="B8" s="5" t="s">
        <v>48</v>
      </c>
      <c r="C8" s="5" t="s">
        <v>57</v>
      </c>
    </row>
    <row r="9" customHeight="1" spans="1:3">
      <c r="A9" s="6">
        <v>3000</v>
      </c>
      <c r="B9" s="5" t="s">
        <v>37</v>
      </c>
      <c r="C9" s="5" t="s">
        <v>57</v>
      </c>
    </row>
    <row r="10" customHeight="1" spans="1:3">
      <c r="A10" s="6"/>
      <c r="B10" s="5"/>
      <c r="C10" s="5"/>
    </row>
    <row r="11" customHeight="1" spans="1:3">
      <c r="A11" s="1"/>
      <c r="B11" s="7"/>
      <c r="C11" s="5"/>
    </row>
    <row r="12" customHeight="1" spans="1:3">
      <c r="A12" s="1"/>
      <c r="B12" s="7"/>
      <c r="C12" s="5"/>
    </row>
    <row r="13" customHeight="1" spans="1:3">
      <c r="A13" s="1"/>
      <c r="B13" s="7"/>
      <c r="C13" s="5"/>
    </row>
    <row r="14" customHeight="1" spans="1:3">
      <c r="A14" s="1"/>
      <c r="B14" s="7"/>
      <c r="C14" s="5"/>
    </row>
    <row r="15" customHeight="1" spans="1:3">
      <c r="A15" s="1" t="s">
        <v>51</v>
      </c>
      <c r="B15" s="7" t="s">
        <v>4</v>
      </c>
      <c r="C15" s="5" t="s">
        <v>5</v>
      </c>
    </row>
    <row r="16" customHeight="1" spans="1:3">
      <c r="A16" s="8">
        <v>0</v>
      </c>
      <c r="B16" s="7" t="s">
        <v>52</v>
      </c>
      <c r="C16" s="5"/>
    </row>
    <row r="17" customHeight="1" spans="1:3">
      <c r="A17" s="8">
        <v>0</v>
      </c>
      <c r="B17" s="7" t="s">
        <v>53</v>
      </c>
      <c r="C17" s="5"/>
    </row>
    <row r="18" customHeight="1" spans="1:3">
      <c r="A18" s="8">
        <v>0</v>
      </c>
      <c r="B18" s="7" t="s">
        <v>54</v>
      </c>
      <c r="C18" s="5"/>
    </row>
    <row r="19" customHeight="1" spans="1:3">
      <c r="A19" s="8">
        <v>0</v>
      </c>
      <c r="B19" s="7" t="s">
        <v>55</v>
      </c>
      <c r="C19" s="5"/>
    </row>
    <row r="20" customHeight="1" spans="1:3">
      <c r="A20" s="9">
        <v>0</v>
      </c>
      <c r="B20" s="7" t="s">
        <v>56</v>
      </c>
      <c r="C20" s="10"/>
    </row>
    <row r="22" customHeight="1" spans="1:3">
      <c r="A22" s="1"/>
      <c r="B22" s="2"/>
      <c r="C22" s="11"/>
    </row>
    <row r="23" customHeight="1" spans="1:3">
      <c r="A23" s="1"/>
      <c r="B23" s="2"/>
      <c r="C23" s="12"/>
    </row>
    <row r="24" customHeight="1" spans="1:3">
      <c r="A24" s="1"/>
      <c r="C24" s="12"/>
    </row>
  </sheetData>
  <dataValidations count="1">
    <dataValidation type="list" allowBlank="1" showInputMessage="1" showErrorMessage="1" sqref="B9 B10 B7:B8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 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2026-02-14T11:28:00Z</dcterms:created>
  <dcterms:modified xsi:type="dcterms:W3CDTF">2026-03-27T17:31:47Z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