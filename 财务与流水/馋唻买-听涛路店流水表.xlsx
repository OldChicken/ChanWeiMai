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 activeTab="1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<sst xmlns="http://schemas.openxmlformats.org/spreadsheetml/2006/main" count="118" uniqueCount="55">
  <si>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</si>
  <si>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</si>
  <si>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</si>
  <si>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</si>
  <si>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</si>
  <si>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</si>
  <si>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</si>
  <si>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</si>
  <si>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</si>
  <si>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</si>
  <si>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</si>
  <si>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</si>
  <si>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</si>
  <si>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</si>
  <si>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</si>
  <si>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</si>
  <si>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</si>
  <si>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</si>
  <si>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</si>
  <si>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</si>
  <si>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</si>
  <si>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</si>
  <si>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</si>
  <si>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</si>
  <si>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</si>
  <si>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</si>
  <si>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</si>
  <si>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</si>
  <si>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</si>
  <si>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</si>
  <si>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</si>
  <si>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</si>
  <si>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</si>
  <si>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</si>
  <si>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</si>
  <si>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</si>
  <si>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水电</t>
  </si>
  <si>
    <t>一月电费</t>
  </si>
  <si>
    <t>其他杂项：床+宽带</t>
  </si>
  <si>
    <t>自购食材(非快驴、老家进货)</t>
  </si>
  <si>
    <t>火鸡面补货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</si>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</sst>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7" formatCode="#,##0.00_ "/>
    <numFmt numFmtId="43" formatCode="_ * #,##0.00_ ;_ * \-#,##0.00_ ;_ * &quot;-&quot;??_ ;_ @_ "/>
    <numFmt numFmtId="41" formatCode="_ * #,##0_ ;_ * \-#,##0_ ;_ * &quot;-&quot;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6" fillId="26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0" fillId="2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4">
    <xf numFmtId="0" fontId="0" fillId="0" borderId="0" xfId="0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9" totalsRowShown="0">
  <autoFilter ref="A5:C39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1:C25" totalsRowShown="0">
  <autoFilter ref="A21:C2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16" totalsRowShown="0">
  <autoFilter ref="A1:C16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A35" sqref="A35"/>
    </sheetView>
  </sheetViews>
  <sheetFormatPr defaultColWidth="9" defaultRowHeight="16.8" outlineLevelCol="2"/>
  <cols>
    <col min="1" max="1" width="23.75" style="5" customWidth="1"/>
    <col min="2" max="2" width="20.375" customWidth="1"/>
    <col min="3" max="3" width="37.25" style="11" customWidth="1"/>
  </cols>
  <sheetData>
    <row r="1" ht="15" customHeight="1" spans="1:3">
      <c r="A1" s="5" t="s">
        <v>0</v>
      </c>
      <c r="C1" s="9">
        <v>100000</v>
      </c>
    </row>
    <row r="2" ht="15" customHeight="1" spans="1:3">
      <c r="A2" s="5" t="s">
        <v>1</v>
      </c>
      <c r="C2" s="10">
        <f>SUM(成本明细[金额(元)])</f>
        <v>96153.69</v>
      </c>
    </row>
    <row r="3" ht="15" customHeight="1" spans="1:3">
      <c r="A3" s="5" t="s">
        <v>2</v>
      </c>
      <c r="C3" s="10">
        <f>C1-C2</f>
        <v>3846.30999999998</v>
      </c>
    </row>
    <row r="4" ht="15" customHeight="1"/>
    <row r="5" ht="15" customHeight="1" spans="1:3">
      <c r="A5" s="5" t="s">
        <v>3</v>
      </c>
      <c r="B5" s="6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1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1" t="s">
        <v>30</v>
      </c>
    </row>
    <row r="26" ht="15" customHeight="1" spans="1:3">
      <c r="A26" s="1">
        <v>640</v>
      </c>
      <c r="B26" t="s">
        <v>9</v>
      </c>
      <c r="C26" s="11" t="s">
        <v>31</v>
      </c>
    </row>
    <row r="27" ht="15" customHeight="1" spans="1:3">
      <c r="A27" s="1">
        <v>500</v>
      </c>
      <c r="B27" t="s">
        <v>32</v>
      </c>
      <c r="C27" s="11" t="s">
        <v>33</v>
      </c>
    </row>
    <row r="28" ht="15" customHeight="1" spans="1:3">
      <c r="A28" s="1">
        <v>600</v>
      </c>
      <c r="B28" t="s">
        <v>32</v>
      </c>
      <c r="C28" s="11" t="s">
        <v>34</v>
      </c>
    </row>
    <row r="29" ht="15" customHeight="1" spans="1:3">
      <c r="A29" s="1">
        <v>938</v>
      </c>
      <c r="B29" t="s">
        <v>25</v>
      </c>
      <c r="C29" s="11" t="s">
        <v>35</v>
      </c>
    </row>
    <row r="30" ht="15" customHeight="1" spans="1:3">
      <c r="A30" s="1">
        <v>1000</v>
      </c>
      <c r="B30" t="s">
        <v>25</v>
      </c>
      <c r="C30" s="11" t="s">
        <v>26</v>
      </c>
    </row>
    <row r="31" ht="15" customHeight="1" spans="1:3">
      <c r="A31" s="1">
        <v>160.41</v>
      </c>
      <c r="B31" t="s">
        <v>25</v>
      </c>
      <c r="C31" s="11" t="s">
        <v>35</v>
      </c>
    </row>
    <row r="32" ht="15" customHeight="1" spans="1:3">
      <c r="A32" s="1">
        <v>162.41</v>
      </c>
      <c r="B32" t="s">
        <v>36</v>
      </c>
      <c r="C32" s="11" t="s">
        <v>37</v>
      </c>
    </row>
    <row r="33" ht="15" customHeight="1" spans="1:3">
      <c r="A33" s="1">
        <v>42.16</v>
      </c>
      <c r="B33" t="s">
        <v>25</v>
      </c>
      <c r="C33" s="11" t="s">
        <v>35</v>
      </c>
    </row>
    <row r="34" ht="15" customHeight="1" spans="1:3">
      <c r="A34" s="1">
        <v>1000</v>
      </c>
      <c r="B34" t="s">
        <v>25</v>
      </c>
      <c r="C34" s="11" t="s">
        <v>26</v>
      </c>
    </row>
    <row r="35" ht="15" customHeight="1" spans="1:3">
      <c r="A35" s="3">
        <v>500</v>
      </c>
      <c r="B35" s="12" t="s">
        <v>9</v>
      </c>
      <c r="C35" s="13" t="s">
        <v>38</v>
      </c>
    </row>
    <row r="36" ht="15" customHeight="1" spans="1:3">
      <c r="A36" s="3">
        <v>1300</v>
      </c>
      <c r="B36" s="12" t="s">
        <v>25</v>
      </c>
      <c r="C36" s="13" t="s">
        <v>39</v>
      </c>
    </row>
    <row r="37" ht="15" customHeight="1" spans="1:3">
      <c r="A37" s="3">
        <v>253.84</v>
      </c>
      <c r="B37" s="12" t="s">
        <v>25</v>
      </c>
      <c r="C37" s="13" t="s">
        <v>40</v>
      </c>
    </row>
    <row r="38" ht="15" customHeight="1" spans="1:3">
      <c r="A38" s="3">
        <v>1000</v>
      </c>
      <c r="B38" s="12" t="s">
        <v>25</v>
      </c>
      <c r="C38" s="13" t="s">
        <v>26</v>
      </c>
    </row>
    <row r="39" ht="15" customHeight="1" spans="1:3">
      <c r="A39" s="3">
        <v>355.3</v>
      </c>
      <c r="B39" s="12" t="s">
        <v>25</v>
      </c>
      <c r="C39" s="13" t="s">
        <v>40</v>
      </c>
    </row>
    <row r="40" ht="15" customHeight="1"/>
    <row r="41" ht="15" customHeight="1"/>
    <row r="42" ht="15" customHeight="1"/>
    <row r="43" ht="15" customHeight="1"/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6:B39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1"/>
  <sheetViews>
    <sheetView tabSelected="1" workbookViewId="0">
      <selection activeCell="I41" sqref="I4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41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42</v>
      </c>
    </row>
    <row r="3" customHeight="1" spans="1:3">
      <c r="A3" s="1">
        <v>12000</v>
      </c>
      <c r="B3" s="2" t="s">
        <v>43</v>
      </c>
      <c r="C3" s="2" t="s">
        <v>44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160.41</v>
      </c>
      <c r="B9" s="2" t="s">
        <v>25</v>
      </c>
      <c r="C9" s="2" t="s">
        <v>35</v>
      </c>
    </row>
    <row r="10" customHeight="1" spans="1:3">
      <c r="A10" s="1">
        <v>162.41</v>
      </c>
      <c r="B10" s="2" t="s">
        <v>36</v>
      </c>
      <c r="C10" s="2" t="s">
        <v>37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3">
        <v>1300</v>
      </c>
      <c r="B13" s="4" t="s">
        <v>25</v>
      </c>
      <c r="C13" s="4" t="s">
        <v>45</v>
      </c>
    </row>
    <row r="14" customHeight="1" spans="1:3">
      <c r="A14" s="3">
        <v>253.84</v>
      </c>
      <c r="B14" s="4" t="s">
        <v>25</v>
      </c>
      <c r="C14" s="4" t="s">
        <v>40</v>
      </c>
    </row>
    <row r="15" customHeight="1" spans="1:3">
      <c r="A15" s="3">
        <v>1000</v>
      </c>
      <c r="B15" s="4" t="s">
        <v>25</v>
      </c>
      <c r="C15" s="2" t="s">
        <v>26</v>
      </c>
    </row>
    <row r="16" customHeight="1" spans="1:3">
      <c r="A16" s="3">
        <v>355.3</v>
      </c>
      <c r="B16" s="4" t="s">
        <v>25</v>
      </c>
      <c r="C16" s="4" t="s">
        <v>40</v>
      </c>
    </row>
    <row r="17" customHeight="1" spans="1:3">
      <c r="A17" s="5"/>
      <c r="B17" s="6"/>
      <c r="C17" s="2"/>
    </row>
    <row r="18" customHeight="1" spans="1:3">
      <c r="A18" s="5"/>
      <c r="B18" s="6"/>
      <c r="C18" s="2"/>
    </row>
    <row r="19" customHeight="1" spans="1:3">
      <c r="A19" s="5"/>
      <c r="B19" s="6"/>
      <c r="C19" s="2"/>
    </row>
    <row r="20" customHeight="1" spans="1:3">
      <c r="A20" s="5"/>
      <c r="B20" s="6"/>
      <c r="C20" s="2"/>
    </row>
    <row r="21" customHeight="1" spans="1:3">
      <c r="A21" s="5" t="s">
        <v>46</v>
      </c>
      <c r="B21" s="6" t="s">
        <v>4</v>
      </c>
      <c r="C21" s="2" t="s">
        <v>5</v>
      </c>
    </row>
    <row r="22" customHeight="1" spans="1:3">
      <c r="A22" s="7">
        <v>6596.29</v>
      </c>
      <c r="B22" s="6" t="s">
        <v>47</v>
      </c>
      <c r="C22" s="2"/>
    </row>
    <row r="23" customHeight="1" spans="1:3">
      <c r="A23" s="7">
        <v>0</v>
      </c>
      <c r="B23" s="6" t="s">
        <v>48</v>
      </c>
      <c r="C23" s="2"/>
    </row>
    <row r="24" customHeight="1" spans="1:3">
      <c r="A24" s="7">
        <v>10263.04</v>
      </c>
      <c r="B24" s="6" t="s">
        <v>49</v>
      </c>
      <c r="C24" s="2"/>
    </row>
    <row r="25" customHeight="1" spans="1:3">
      <c r="A25" s="7">
        <v>7245.93</v>
      </c>
      <c r="B25" s="6" t="s">
        <v>50</v>
      </c>
      <c r="C25" s="2"/>
    </row>
    <row r="28" customHeight="1" spans="1:3">
      <c r="A28" s="5" t="s">
        <v>51</v>
      </c>
      <c r="B28" s="8">
        <f>SUM(成本明细表[成本明细])</f>
        <v>37405.12</v>
      </c>
      <c r="C28" s="9"/>
    </row>
    <row r="29" customHeight="1" spans="1:3">
      <c r="A29" s="5" t="s">
        <v>52</v>
      </c>
      <c r="B29" s="8">
        <f>SUM(营业额明细表[营业额明细])</f>
        <v>24105.26</v>
      </c>
      <c r="C29" s="10"/>
    </row>
    <row r="30" customHeight="1" spans="1:3">
      <c r="A30" s="5" t="s">
        <v>53</v>
      </c>
      <c r="C30" s="10"/>
    </row>
    <row r="31" customHeight="1" spans="1:1">
      <c r="A31" t="s">
        <v>54</v>
      </c>
    </row>
  </sheetData>
  <dataValidations count="2">
    <dataValidation type="list" allowBlank="1" showInputMessage="1" showErrorMessage="1" sqref="B2:B15">
      <formula1>"房租,其他,食材,推广,水电,工资"</formula1>
    </dataValidation>
    <dataValidation type="list" allowBlank="1" showInputMessage="1" showErrorMessage="1" sqref="B16">
      <formula1>"房租,装修,其他,设备,食材,推广,水电"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2026-02-01T03:28:00Z</dcterms:created>
  <dcterms:modified xsi:type="dcterms:W3CDTF">2026-02-22T16:17:13Z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