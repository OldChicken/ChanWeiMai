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2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<sst xmlns="http://schemas.openxmlformats.org/spreadsheetml/2006/main" count="449" uniqueCount="158">
  <si>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</si>
  <si>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</si>
  <si>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</si>
  <si>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</si>
  <si>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</si>
  <si>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</si>
  <si>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</si>
  <si>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</si>
  <si>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</si>
  <si>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</si>
  <si>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</si>
  <si>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</si>
  <si>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</si>
  <si>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</si>
  <si>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</si>
  <si>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</si>
  <si>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</si>
  <si>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</si>
  <si>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</si>
  <si>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</si>
  <si>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</si>
  <si>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</si>
  <si>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</si>
  <si>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</si>
  <si>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</si>
  <si>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</si>
  <si>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</si>
  <si>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</si>
  <si>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</si>
  <si>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</si>
  <si>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</si>
  <si>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</si>
  <si>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</si>
  <si>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</si>
  <si>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</si>
  <si>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</si>
  <si>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</si>
  <si>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</si>
  <si>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</si>
  <si>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</si>
  <si>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</si>
  <si>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</si>
  <si>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</si>
  <si>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</si>
  <si>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</si>
  <si>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</si>
  <si>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</si>
  <si>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</si>
  <si>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</si>
  <si>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</si>
  <si>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</si>
  <si>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</si>
  <si>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</si>
  <si>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</si>
  <si>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</si>
  <si>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</si>
  <si>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</si>
  <si>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</si>
  <si>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</si>
  <si>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</si>
  <si>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</si>
  <si>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</si>
  <si>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</si>
  <si>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</si>
  <si>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</si>
  <si>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</si>
  <si>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</si>
  <si>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</si>
  <si>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</si>
  <si>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</si>
  <si>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</si>
  <si>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</si>
  <si>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</si>
  <si>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</si>
  <si>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</si>
  <si>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</si>
  <si>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</si>
  <si>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</si>
  <si>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</si>
  <si>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</si>
  <si>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</si>
  <si>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</si>
  <si>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</si>
  <si>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</si>
  <si>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</si>
  <si>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</si>
  <si>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</si>
  <si>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</si>
  <si>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</si>
  <si>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</si>
  <si>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</si>
  <si>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</si>
  <si>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</si>
  <si>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</si>
  <si>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</si>
  <si>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</si>
  <si>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</si>
  <si>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</si>
  <si>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</si>
  <si>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</si>
  <si>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</si>
  <si>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</si>
  <si>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</si>
  <si>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</si>
  <si>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</si>
  <si>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</si>
  <si>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</si>
  <si>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</si>
  <si>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</si>
  <si>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</si>
  <si>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</si>
  <si>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</si>
  <si>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</si>
  <si>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</si>
  <si>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</si>
  <si>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</si>
  <si>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</si>
  <si>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</si>
  <si>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</si>
  <si>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</si>
  <si>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</si>
  <si>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</si>
  <si>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</si>
  <si>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</si>
  <si>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</si>
  <si>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</si>
  <si>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</si>
  <si>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</si>
  <si>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</si>
  <si>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</si>
  <si>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</si>
  <si>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</si>
  <si>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</si>
  <si>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</si>
  <si>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</si>
  <si>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微信堂食-商业码</t>
  </si>
  <si>
    <t>微信堂食-经营码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</si>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</sst>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177" formatCode="#,##0.00_ "/>
    <numFmt numFmtId="178" formatCode="0.00_ ;[Red]\-0.00\ "/>
    <numFmt numFmtId="42" formatCode="_ &quot;￥&quot;* #,##0_ ;_ &quot;￥&quot;* \-#,##0_ ;_ &quot;￥&quot;* &quot;-&quot;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2" fillId="42" borderId="0">
      <alignment vertical="center"/>
    </xf>
    <xf numFmtId="0" fontId="7" fillId="25" borderId="0">
      <alignment vertical="center"/>
    </xf>
    <xf numFmtId="0" fontId="12" fillId="28" borderId="0">
      <alignment vertical="center"/>
    </xf>
    <xf numFmtId="0" fontId="19" fillId="23" borderId="11">
      <alignment vertical="center"/>
    </xf>
    <xf numFmtId="0" fontId="7" fillId="31" borderId="0">
      <alignment vertical="center"/>
    </xf>
    <xf numFmtId="0" fontId="7" fillId="36" borderId="0">
      <alignment vertical="center"/>
    </xf>
    <xf numFmtId="44" fontId="0" fillId="0" borderId="0">
      <alignment vertical="center"/>
    </xf>
    <xf numFmtId="0" fontId="12" fillId="19" borderId="0">
      <alignment vertical="center"/>
    </xf>
    <xf numFmtId="9" fontId="0" fillId="0" borderId="0">
      <alignment vertical="center"/>
    </xf>
    <xf numFmtId="0" fontId="12" fillId="38" borderId="0">
      <alignment vertical="center"/>
    </xf>
    <xf numFmtId="0" fontId="12" fillId="29" borderId="0">
      <alignment vertical="center"/>
    </xf>
    <xf numFmtId="0" fontId="12" fillId="41" borderId="0">
      <alignment vertical="center"/>
    </xf>
    <xf numFmtId="0" fontId="12" fillId="30" borderId="0">
      <alignment vertical="center"/>
    </xf>
    <xf numFmtId="0" fontId="12" fillId="33" borderId="0">
      <alignment vertical="center"/>
    </xf>
    <xf numFmtId="0" fontId="24" fillId="17" borderId="11">
      <alignment vertical="center"/>
    </xf>
    <xf numFmtId="0" fontId="12" fillId="27" borderId="0">
      <alignment vertical="center"/>
    </xf>
    <xf numFmtId="0" fontId="20" fillId="26" borderId="0">
      <alignment vertical="center"/>
    </xf>
    <xf numFmtId="0" fontId="7" fillId="37" borderId="0">
      <alignment vertical="center"/>
    </xf>
    <xf numFmtId="0" fontId="18" fillId="20" borderId="0">
      <alignment vertical="center"/>
    </xf>
    <xf numFmtId="0" fontId="7" fillId="22" borderId="0">
      <alignment vertical="center"/>
    </xf>
    <xf numFmtId="0" fontId="22" fillId="0" borderId="12">
      <alignment vertical="center"/>
    </xf>
    <xf numFmtId="0" fontId="15" fillId="16" borderId="0">
      <alignment vertical="center"/>
    </xf>
    <xf numFmtId="0" fontId="17" fillId="18" borderId="10">
      <alignment vertical="center"/>
    </xf>
    <xf numFmtId="0" fontId="16" fillId="17" borderId="9">
      <alignment vertical="center"/>
    </xf>
    <xf numFmtId="0" fontId="8" fillId="0" borderId="7">
      <alignment vertical="center"/>
    </xf>
    <xf numFmtId="0" fontId="11" fillId="0" borderId="0">
      <alignment vertical="center"/>
    </xf>
    <xf numFmtId="0" fontId="7" fillId="39" borderId="0">
      <alignment vertical="center"/>
    </xf>
    <xf numFmtId="0" fontId="9" fillId="0" borderId="0">
      <alignment vertical="center"/>
    </xf>
    <xf numFmtId="42" fontId="0" fillId="0" borderId="0">
      <alignment vertical="center"/>
    </xf>
    <xf numFmtId="0" fontId="7" fillId="24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3" fillId="0" borderId="0">
      <alignment vertical="center"/>
    </xf>
    <xf numFmtId="0" fontId="7" fillId="32" borderId="0">
      <alignment vertical="center"/>
    </xf>
    <xf numFmtId="0" fontId="21" fillId="0" borderId="0">
      <alignment vertical="center"/>
    </xf>
    <xf numFmtId="0" fontId="12" fillId="13" borderId="0">
      <alignment vertical="center"/>
    </xf>
    <xf numFmtId="0" fontId="0" fillId="35" borderId="13">
      <alignment vertical="center"/>
    </xf>
    <xf numFmtId="0" fontId="7" fillId="15" borderId="0">
      <alignment vertical="center"/>
    </xf>
    <xf numFmtId="0" fontId="12" fillId="21" borderId="0">
      <alignment vertical="center"/>
    </xf>
    <xf numFmtId="0" fontId="7" fillId="14" borderId="0">
      <alignment vertical="center"/>
    </xf>
    <xf numFmtId="0" fontId="14" fillId="0" borderId="0">
      <alignment vertical="center"/>
    </xf>
    <xf numFmtId="41" fontId="0" fillId="0" borderId="0">
      <alignment vertical="center"/>
    </xf>
    <xf numFmtId="0" fontId="10" fillId="0" borderId="7">
      <alignment vertical="center"/>
    </xf>
    <xf numFmtId="0" fontId="7" fillId="34" borderId="0">
      <alignment vertical="center"/>
    </xf>
    <xf numFmtId="0" fontId="9" fillId="0" borderId="8">
      <alignment vertical="center"/>
    </xf>
    <xf numFmtId="0" fontId="12" fillId="40" borderId="0">
      <alignment vertical="center"/>
    </xf>
    <xf numFmtId="0" fontId="7" fillId="12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66">
  <autoFilter ref="A41:C66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opLeftCell="A99" workbookViewId="0">
      <selection activeCell="A13" sqref="A13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0.0768850472815241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4047.9</v>
      </c>
      <c r="C27" s="12">
        <f>$B$27/$B$4</f>
        <v>0.0593945654390802</v>
      </c>
    </row>
    <row r="28" customHeight="1" spans="1:3">
      <c r="A28" s="10" t="s">
        <v>14</v>
      </c>
      <c r="B28" s="11">
        <f>SUMIF(支出明细2603[分类],"其他",支出明细2603[支出明细])</f>
        <v>446.99</v>
      </c>
      <c r="C28" s="12">
        <f>$B$28/$B$4</f>
        <v>0.00655865431596987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37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workbookViewId="0">
      <selection activeCell="D65" sqref="D65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50491.46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-30042.38</v>
      </c>
      <c r="C5" s="10" t="s">
        <v>49</v>
      </c>
    </row>
    <row r="6" customHeight="1" spans="1:3">
      <c r="A6" s="10" t="s">
        <v>52</v>
      </c>
      <c r="B6" s="11">
        <f>$B$3-$B$4</f>
        <v>-50491.46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30042.38</v>
      </c>
      <c r="C23" s="12">
        <f>$B$23/$B$4</f>
        <v>0.59499923353375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0.237663953468567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0.0858164925316083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0.0604062548399274</v>
      </c>
    </row>
    <row r="28" customHeight="1" spans="1:3">
      <c r="A28" s="10" t="s">
        <v>14</v>
      </c>
      <c r="B28" s="11">
        <f>SUMIF(支出明细2604[分类],"其他",支出明细2604[支出明细])</f>
        <v>1066.08</v>
      </c>
      <c r="C28" s="12">
        <f>$B$28/$B$4</f>
        <v>0.0211140656261475</v>
      </c>
    </row>
    <row r="29" customHeight="1" spans="1:3">
      <c r="A29" s="23" t="s">
        <v>65</v>
      </c>
      <c r="B29" s="24">
        <f>SUM(B23:B28)</f>
        <v>50491.46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135</v>
      </c>
      <c r="C33" s="28"/>
    </row>
    <row r="34" customHeight="1" spans="1:3">
      <c r="A34" s="29">
        <v>0</v>
      </c>
      <c r="B34" s="27" t="s">
        <v>136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137</v>
      </c>
    </row>
    <row r="44" customHeight="1" spans="1:3">
      <c r="A44" s="26">
        <v>3000</v>
      </c>
      <c r="B44" s="28" t="s">
        <v>37</v>
      </c>
      <c r="C44" s="28" t="s">
        <v>137</v>
      </c>
    </row>
    <row r="45" customHeight="1" spans="1:3">
      <c r="A45" s="26">
        <v>4000</v>
      </c>
      <c r="B45" s="28" t="s">
        <v>25</v>
      </c>
      <c r="C45" s="28" t="s">
        <v>138</v>
      </c>
    </row>
    <row r="46" customHeight="1" spans="1:3">
      <c r="A46" s="26">
        <v>397.58</v>
      </c>
      <c r="B46" s="27" t="s">
        <v>25</v>
      </c>
      <c r="C46" s="28" t="s">
        <v>139</v>
      </c>
    </row>
    <row r="47" customHeight="1" spans="1:3">
      <c r="A47" s="26">
        <v>5000</v>
      </c>
      <c r="B47" s="27" t="s">
        <v>25</v>
      </c>
      <c r="C47" s="28" t="s">
        <v>140</v>
      </c>
    </row>
    <row r="48" customHeight="1" spans="1:3">
      <c r="A48" s="26">
        <v>601.92</v>
      </c>
      <c r="B48" s="2" t="s">
        <v>25</v>
      </c>
      <c r="C48" s="2" t="s">
        <v>112</v>
      </c>
    </row>
    <row r="49" customHeight="1" spans="1:3">
      <c r="A49" s="26">
        <v>86.24</v>
      </c>
      <c r="B49" s="2" t="s">
        <v>25</v>
      </c>
      <c r="C49" s="2" t="s">
        <v>141</v>
      </c>
    </row>
    <row r="50" customHeight="1" spans="1:3">
      <c r="A50" s="26">
        <v>83.64</v>
      </c>
      <c r="B50" s="2" t="s">
        <v>25</v>
      </c>
      <c r="C50" s="2" t="s">
        <v>142</v>
      </c>
    </row>
    <row r="51" customHeight="1" spans="1:3">
      <c r="A51" s="26">
        <v>280</v>
      </c>
      <c r="B51" s="2" t="s">
        <v>25</v>
      </c>
      <c r="C51" s="2" t="s">
        <v>143</v>
      </c>
    </row>
    <row r="52" customHeight="1" spans="1:3">
      <c r="A52" s="26">
        <v>50</v>
      </c>
      <c r="B52" s="2" t="s">
        <v>37</v>
      </c>
      <c r="C52" s="2" t="s">
        <v>144</v>
      </c>
    </row>
    <row r="53" customHeight="1" spans="1:3">
      <c r="A53" s="26">
        <v>618</v>
      </c>
      <c r="B53" s="2" t="s">
        <v>25</v>
      </c>
      <c r="C53" s="2" t="s">
        <v>145</v>
      </c>
    </row>
    <row r="54" customHeight="1" spans="1:3">
      <c r="A54" s="26">
        <v>8092</v>
      </c>
      <c r="B54" s="2" t="s">
        <v>25</v>
      </c>
      <c r="C54" s="2" t="s">
        <v>146</v>
      </c>
    </row>
    <row r="55" customHeight="1" spans="1:3">
      <c r="A55" s="26">
        <v>1379</v>
      </c>
      <c r="B55" s="2" t="s">
        <v>25</v>
      </c>
      <c r="C55" s="2" t="s">
        <v>147</v>
      </c>
    </row>
    <row r="56" customHeight="1" spans="1:3">
      <c r="A56" s="26">
        <v>150</v>
      </c>
      <c r="B56" s="2" t="s">
        <v>14</v>
      </c>
      <c r="C56" s="2" t="s">
        <v>148</v>
      </c>
    </row>
    <row r="57" customHeight="1" spans="1:3">
      <c r="A57" s="26">
        <v>700</v>
      </c>
      <c r="B57" s="2" t="s">
        <v>14</v>
      </c>
      <c r="C57" s="2" t="s">
        <v>149</v>
      </c>
    </row>
    <row r="58" customHeight="1" spans="1:3">
      <c r="A58" s="26">
        <v>350</v>
      </c>
      <c r="B58" s="2" t="s">
        <v>25</v>
      </c>
      <c r="C58" s="2" t="s">
        <v>150</v>
      </c>
    </row>
    <row r="59" customHeight="1" spans="1:3">
      <c r="A59" s="26">
        <v>381</v>
      </c>
      <c r="B59" s="2" t="s">
        <v>25</v>
      </c>
      <c r="C59" s="2" t="s">
        <v>151</v>
      </c>
    </row>
    <row r="60" customHeight="1" spans="1:3">
      <c r="A60" s="26">
        <v>16.08</v>
      </c>
      <c r="B60" s="2" t="s">
        <v>14</v>
      </c>
      <c r="C60" s="2" t="s">
        <v>152</v>
      </c>
    </row>
    <row r="61" customHeight="1" spans="1:3">
      <c r="A61" s="26">
        <v>396</v>
      </c>
      <c r="B61" s="2" t="s">
        <v>25</v>
      </c>
      <c r="C61" s="2" t="s">
        <v>153</v>
      </c>
    </row>
    <row r="62" customHeight="1" spans="1:3">
      <c r="A62" s="26">
        <v>602</v>
      </c>
      <c r="B62" s="2" t="s">
        <v>25</v>
      </c>
      <c r="C62" s="2" t="s">
        <v>112</v>
      </c>
    </row>
    <row r="63" customHeight="1" spans="1:3">
      <c r="A63" s="26">
        <v>200</v>
      </c>
      <c r="B63" s="2" t="s">
        <v>14</v>
      </c>
      <c r="C63" s="2" t="s">
        <v>154</v>
      </c>
    </row>
    <row r="64" customHeight="1" spans="1:3">
      <c r="A64" s="26">
        <v>80</v>
      </c>
      <c r="B64" s="2" t="s">
        <v>25</v>
      </c>
      <c r="C64" s="2" t="s">
        <v>155</v>
      </c>
    </row>
    <row r="65" customHeight="1" spans="1:3">
      <c r="A65" s="26">
        <v>912</v>
      </c>
      <c r="B65" s="2" t="s">
        <v>25</v>
      </c>
      <c r="C65" s="2" t="s">
        <v>156</v>
      </c>
    </row>
    <row r="66" customHeight="1" spans="1:3">
      <c r="A66" s="26">
        <v>6783</v>
      </c>
      <c r="B66" s="2" t="s">
        <v>25</v>
      </c>
      <c r="C66" s="2" t="s">
        <v>157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56 B57 B58 B59 B60 B61 B62 B63 B64 B65 B66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2026-02-28T11:28:00Z</dcterms:created>
  <dcterms:modified xsi:type="dcterms:W3CDTF">2026-04-15T16:16:03Z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