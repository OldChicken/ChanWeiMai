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900" activeTab="2"/>
  </bookViews>
  <sheets>
    <sheet name="开店成本清单" sheetId="1" r:id="rId1"/>
    <sheet name="2026-02流水 " sheetId="3" r:id="rId2"/>
    <sheet name="2026-03流水" sheetId="2" r:id="rId3"/>
  </sheets>
  <calcPr calcId="144525"/>
</workbook>
</file>

<file path=xl/sharedStrings.xml><?xml version="1.0" encoding="utf-8"?>
<sst xmlns="http://schemas.openxmlformats.org/spreadsheetml/2006/main" count="264" uniqueCount="106">
  <si>
    <t>总预算(元)</t>
  </si>
  <si>
    <t>实际总花费(元)</t>
  </si>
  <si>
    <t>余额(元)</t>
  </si>
  <si>
    <t>金额(元)</t>
  </si>
  <si>
    <t>分类</t>
  </si>
  <si>
    <t>说明</t>
  </si>
  <si>
    <t>房租</t>
  </si>
  <si>
    <t>房租押金</t>
  </si>
  <si>
    <t>半年房租：年租金5.2万，半年付</t>
  </si>
  <si>
    <t>装修</t>
  </si>
  <si>
    <t>装修押金</t>
  </si>
  <si>
    <t>广告牌、灯牌费用</t>
  </si>
  <si>
    <t>物业水管改造</t>
  </si>
  <si>
    <t>隔壁改装水电</t>
  </si>
  <si>
    <t>其他</t>
  </si>
  <si>
    <t>外卖商品照片</t>
  </si>
  <si>
    <t>设备</t>
  </si>
  <si>
    <t>设备+零散材料</t>
  </si>
  <si>
    <t>装修水电进场</t>
  </si>
  <si>
    <t>桌椅首批</t>
  </si>
  <si>
    <t>门头设计</t>
  </si>
  <si>
    <t>小票打印机</t>
  </si>
  <si>
    <t>烤肠机</t>
  </si>
  <si>
    <t>油烟机</t>
  </si>
  <si>
    <t>小米手机</t>
  </si>
  <si>
    <t>食材</t>
  </si>
  <si>
    <t>快驴充值</t>
  </si>
  <si>
    <t>开店首批食材</t>
  </si>
  <si>
    <t>员工工作服</t>
  </si>
  <si>
    <t>扫码点餐物料</t>
  </si>
  <si>
    <t>装修尾款</t>
  </si>
  <si>
    <t>外卖店铺装修</t>
  </si>
  <si>
    <t>推广</t>
  </si>
  <si>
    <t>外卖首日刷单</t>
  </si>
  <si>
    <t>淘宝300+美团300，首充</t>
  </si>
  <si>
    <t>包装盒补货</t>
  </si>
  <si>
    <t>火鸡面补货</t>
  </si>
  <si>
    <t>水电</t>
  </si>
  <si>
    <t>一月电费</t>
  </si>
  <si>
    <t>其他杂项：床+宽带</t>
  </si>
  <si>
    <t>自购食材(非快驴、老家进货)</t>
  </si>
  <si>
    <t>主食材补货</t>
  </si>
  <si>
    <t>硅胶防烫套</t>
  </si>
  <si>
    <t>成本合计</t>
  </si>
  <si>
    <t>营业额合计</t>
  </si>
  <si>
    <t>利润</t>
  </si>
  <si>
    <t>成本明细</t>
  </si>
  <si>
    <t>月租金</t>
  </si>
  <si>
    <t>工资</t>
  </si>
  <si>
    <t>员工工资</t>
  </si>
  <si>
    <t>老池自购食材</t>
  </si>
  <si>
    <t>营业额明细</t>
  </si>
  <si>
    <t>微信堂食</t>
  </si>
  <si>
    <t>支付宝堂食</t>
  </si>
  <si>
    <t>京东外卖</t>
  </si>
  <si>
    <t>淘宝外卖</t>
  </si>
  <si>
    <t>美团外卖</t>
  </si>
  <si>
    <t>暂未支付</t>
  </si>
  <si>
    <t>芋头小笼120斤*12，肉燕120斤*22.5，菜探长进货</t>
  </si>
  <si>
    <t>肉片300斤*8，高级肉片199斤*9，香菇小笼100斤*11，肉燕100斤*18，鸡翅320，运费455，硕美进货</t>
  </si>
  <si>
    <t>PE食品保鲜袋</t>
  </si>
  <si>
    <t>食材调味粉</t>
  </si>
  <si>
    <t>1280圆打包盒900个，0.52/个</t>
  </si>
  <si>
    <t>1000圆打包盒1000个，0.385/个</t>
  </si>
  <si>
    <t>鸡翅10斤</t>
  </si>
  <si>
    <t>普福店调货补给老李（此处被老李算错账）</t>
  </si>
  <si>
    <t>外卖盒子临时补货</t>
  </si>
  <si>
    <t>火鸡面拼多多补货5箱共150袋</t>
  </si>
  <si>
    <t>美团外卖推广</t>
  </si>
  <si>
    <t>750圆打包盒600个，0.375/个</t>
  </si>
  <si>
    <t>一次性餐具(筷子+勺子)，70元/500个，0.14/个</t>
  </si>
  <si>
    <t>一次性筷子</t>
  </si>
  <si>
    <t>福州鱼丸20包/198</t>
  </si>
  <si>
    <t>京东外卖刷单</t>
  </si>
  <si>
    <t>硕美牛肉丸样品20斤，17一斤+22运费</t>
  </si>
  <si>
    <t>京东外卖推广</t>
  </si>
  <si>
    <t>一次性塑料袋和一次性勺子，塑料袋1分钱/个，勺子8分钱/个</t>
  </si>
  <si>
    <t>300斤肉片2400+100斤牛肉羹1700+运费255.5 = 4355.5</t>
  </si>
  <si>
    <t>老李9元/斤买走20斤上述肉片</t>
  </si>
  <si>
    <t>弹粉进货，4.5/斤，运费0.5/斤</t>
  </si>
  <si>
    <t>300圆碗四箱</t>
  </si>
  <si>
    <t>450圆碗三箱</t>
  </si>
  <si>
    <t>50包火鸡面</t>
  </si>
  <si>
    <t>老李买走100斤肉片</t>
  </si>
  <si>
    <t>老池垫付的牛肉丸+鱼丸钱</t>
  </si>
  <si>
    <t>硕美8元肉片补货300斤+100运费</t>
  </si>
  <si>
    <t>淘宝出餐机签约，299支持返现+免佣300，需要关注</t>
  </si>
  <si>
    <t>老李买走50斤肉片</t>
  </si>
  <si>
    <t>淘宝推广</t>
  </si>
  <si>
    <t>火鸡面10箱</t>
  </si>
  <si>
    <t>1280打包盒</t>
  </si>
  <si>
    <t>电话费300</t>
  </si>
  <si>
    <t>火鸡面临时补货</t>
  </si>
  <si>
    <t>750圆碗600个</t>
  </si>
  <si>
    <t>小米空调(需要算到开店成本里比较合理)</t>
  </si>
  <si>
    <t>1000圆碗800个/308元</t>
  </si>
  <si>
    <t>硕美进货，肉片500斤4000，小笼包100斤1100，肉燕100斤1800，鸡翅100个300，鸭爪100个130，运费230</t>
  </si>
  <si>
    <t>菜探长进货的调味粉+运费</t>
  </si>
  <si>
    <t>灭蚊灯</t>
  </si>
  <si>
    <t>菜探长肉筋进货1380+30运费</t>
  </si>
  <si>
    <t>给老家寄肉筋快递费43.65+插线板38</t>
  </si>
  <si>
    <t>1000圆碗600个</t>
  </si>
  <si>
    <t>火鸡面临时补货46.6+福州鱼丸198</t>
  </si>
  <si>
    <t>黄辣椒+溜溜 480</t>
  </si>
  <si>
    <t>白琳肉筋样品</t>
  </si>
  <si>
    <t>硕美进货，肉片500斤4000，小笼包50斤5500，肉燕50斤900，牛肉羹50斤850，调味料60，运费195</t>
  </si>
</sst>
</file>

<file path=xl/styles.xml><?xml version="1.0" encoding="utf-8"?>
<styleSheet xmlns="http://schemas.openxmlformats.org/spreadsheetml/2006/main">
  <numFmts count="7">
    <numFmt numFmtId="176" formatCode="0.00_ ;[Red]\-0.00\ "/>
    <numFmt numFmtId="177" formatCode="0.00_);[Red]\(0.00\)"/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178" formatCode="#,##0.00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i/>
      <sz val="11"/>
      <color theme="1"/>
      <name val="宋体"/>
      <charset val="134"/>
      <scheme val="minor"/>
    </font>
    <font>
      <sz val="11"/>
      <color theme="1"/>
      <name val="宋体"/>
      <charset val="134"/>
    </font>
    <font>
      <sz val="11"/>
      <color rgb="FFFA7D00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5"/>
      <color theme="3"/>
      <name val="宋体"/>
      <charset val="134"/>
      <scheme val="minor"/>
    </font>
    <font>
      <u/>
      <sz val="11"/>
      <color rgb="FF800080"/>
      <name val="宋体"/>
      <charset val="0"/>
      <scheme val="minor"/>
    </font>
    <font>
      <i/>
      <sz val="11"/>
      <color rgb="FF7F7F7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1"/>
      <color theme="3"/>
      <name val="宋体"/>
      <charset val="134"/>
      <scheme val="minor"/>
    </font>
    <font>
      <sz val="11"/>
      <color rgb="FF9C0006"/>
      <name val="宋体"/>
      <charset val="0"/>
      <scheme val="minor"/>
    </font>
    <font>
      <sz val="11"/>
      <color rgb="FF0061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theme="1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3"/>
      <color theme="3"/>
      <name val="宋体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EB9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0" fontId="6" fillId="17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6" fillId="30" borderId="0" applyNumberFormat="0" applyBorder="0" applyAlignment="0" applyProtection="0">
      <alignment vertical="center"/>
    </xf>
    <xf numFmtId="0" fontId="20" fillId="27" borderId="6" applyNumberFormat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5" fillId="26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16" fillId="14" borderId="6" applyNumberFormat="0" applyAlignment="0" applyProtection="0">
      <alignment vertical="center"/>
    </xf>
    <xf numFmtId="0" fontId="6" fillId="22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12" fillId="16" borderId="5" applyNumberFormat="0" applyAlignment="0" applyProtection="0">
      <alignment vertical="center"/>
    </xf>
    <xf numFmtId="0" fontId="11" fillId="14" borderId="3" applyNumberFormat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0" fillId="15" borderId="4" applyNumberFormat="0" applyFont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6" fillId="6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1" fillId="0" borderId="2" applyNumberFormat="0" applyFill="0" applyAlignment="0" applyProtection="0">
      <alignment vertical="center"/>
    </xf>
    <xf numFmtId="0" fontId="5" fillId="5" borderId="0" applyNumberFormat="0" applyBorder="0" applyAlignment="0" applyProtection="0">
      <alignment vertical="center"/>
    </xf>
    <xf numFmtId="0" fontId="13" fillId="0" borderId="8" applyNumberFormat="0" applyFill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21">
    <xf numFmtId="0" fontId="0" fillId="0" borderId="0" xfId="0"/>
    <xf numFmtId="0" fontId="1" fillId="0" borderId="0" xfId="0" applyFont="1"/>
    <xf numFmtId="3" fontId="0" fillId="0" borderId="0" xfId="0" applyNumberFormat="1" applyAlignment="1">
      <alignment horizontal="left"/>
    </xf>
    <xf numFmtId="177" fontId="0" fillId="0" borderId="0" xfId="0" applyNumberFormat="1"/>
    <xf numFmtId="176" fontId="0" fillId="0" borderId="0" xfId="0" applyNumberFormat="1"/>
    <xf numFmtId="177" fontId="0" fillId="0" borderId="0" xfId="0" applyNumberFormat="1" applyAlignment="1">
      <alignment horizontal="left"/>
    </xf>
    <xf numFmtId="4" fontId="0" fillId="0" borderId="0" xfId="0" applyNumberFormat="1" applyAlignment="1">
      <alignment horizontal="left"/>
    </xf>
    <xf numFmtId="176" fontId="0" fillId="0" borderId="0" xfId="0" applyNumberFormat="1" applyAlignment="1">
      <alignment horizontal="left"/>
    </xf>
    <xf numFmtId="4" fontId="2" fillId="0" borderId="0" xfId="0" applyNumberFormat="1" applyFont="1" applyAlignment="1">
      <alignment horizontal="left"/>
    </xf>
    <xf numFmtId="176" fontId="2" fillId="0" borderId="0" xfId="0" applyNumberFormat="1" applyFont="1" applyAlignment="1">
      <alignment horizontal="left"/>
    </xf>
    <xf numFmtId="176" fontId="2" fillId="0" borderId="0" xfId="0" applyNumberFormat="1" applyFont="1" applyAlignment="1">
      <alignment horizontal="left"/>
    </xf>
    <xf numFmtId="4" fontId="2" fillId="0" borderId="0" xfId="0" applyNumberFormat="1" applyFont="1" applyAlignment="1">
      <alignment horizontal="left"/>
    </xf>
    <xf numFmtId="0" fontId="0" fillId="0" borderId="0" xfId="0" applyAlignment="1">
      <alignment horizontal="left"/>
    </xf>
    <xf numFmtId="178" fontId="0" fillId="0" borderId="0" xfId="0" applyNumberFormat="1" applyAlignment="1">
      <alignment horizontal="left"/>
    </xf>
    <xf numFmtId="178" fontId="2" fillId="0" borderId="0" xfId="0" applyNumberFormat="1" applyFont="1" applyAlignment="1">
      <alignment horizontal="left"/>
    </xf>
    <xf numFmtId="1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177" fontId="2" fillId="0" borderId="0" xfId="0" applyNumberFormat="1" applyFont="1" applyAlignment="1">
      <alignment horizontal="left"/>
    </xf>
    <xf numFmtId="4" fontId="0" fillId="0" borderId="0" xfId="0" applyNumberFormat="1"/>
    <xf numFmtId="0" fontId="2" fillId="0" borderId="0" xfId="0" applyFont="1"/>
    <xf numFmtId="4" fontId="2" fillId="0" borderId="0" xfId="0" applyNumberFormat="1" applyFont="1"/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9">
    <dxf>
      <font>
        <name val="宋体"/>
        <scheme val="none"/>
        <charset val="134"/>
        <b val="0"/>
        <strike val="0"/>
        <u val="none"/>
        <sz val="11"/>
        <color theme="1"/>
      </font>
      <numFmt numFmtId="177" formatCode="0.00_);[Red]\(0.00\)"/>
    </dxf>
    <dxf>
      <font>
        <name val="宋体"/>
        <scheme val="none"/>
        <charset val="134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8" formatCode="#,##0.00_ 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strike val="0"/>
        <u val="none"/>
        <sz val="11"/>
        <color theme="1"/>
      </font>
      <numFmt numFmtId="176" formatCode="0.00_ ;[Red]\-0.00\ 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  <dxf>
      <font>
        <name val="宋体"/>
        <scheme val="none"/>
        <charset val="134"/>
        <b val="0"/>
        <i val="0"/>
        <strike val="0"/>
        <u val="none"/>
        <sz val="11"/>
        <color theme="1"/>
      </font>
      <numFmt numFmtId="4" formatCode="#,##0.00"/>
      <alignment horizontal="left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成本明细" displayName="成本明细" ref="A5:C43" totalsRowShown="0">
  <autoFilter ref="A5:C43"/>
  <tableColumns count="3">
    <tableColumn id="1" name="金额(元)" dataDxfId="0"/>
    <tableColumn id="2" name="分类" dataDxfId="1"/>
    <tableColumn id="3" name="说明" dataDxfId="2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4" name="营业额明细表_5" displayName="营业额明细表_5" ref="A29:C34" totalsRowShown="0">
  <autoFilter ref="A29:C34"/>
  <tableColumns count="3">
    <tableColumn id="1" name="营业额明细"/>
    <tableColumn id="2" name="分类"/>
    <tableColumn id="3" name="说明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5" name="成本明细表_6" displayName="成本明细表_6" ref="A6:C25" totalsRowShown="0">
  <autoFilter ref="A6:C25"/>
  <tableColumns count="3">
    <tableColumn id="1" name="成本明细"/>
    <tableColumn id="2" name="分类"/>
    <tableColumn id="3" name="说明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2" name="营业额明细表" displayName="营业额明细表" ref="A69:C74" totalsRowShown="0">
  <autoFilter ref="A69:C74"/>
  <tableColumns count="3">
    <tableColumn id="1" name="营业额明细" dataDxfId="3"/>
    <tableColumn id="2" name="分类" dataDxfId="4"/>
    <tableColumn id="3" name="说明" dataDxfId="5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3" name="成本明细表" displayName="成本明细表" ref="A6:C64" totalsRowShown="0">
  <autoFilter ref="A6:C64"/>
  <tableColumns count="3">
    <tableColumn id="2" name="成本明细" dataDxfId="6"/>
    <tableColumn id="4" name="分类" dataDxfId="7"/>
    <tableColumn id="1" name="说明" dataDxfId="8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3"/>
  <sheetViews>
    <sheetView topLeftCell="A15" workbookViewId="0">
      <selection activeCell="C38" sqref="C38"/>
    </sheetView>
  </sheetViews>
  <sheetFormatPr defaultColWidth="9" defaultRowHeight="16.8" outlineLevelCol="2"/>
  <cols>
    <col min="1" max="1" width="23.75" style="2" customWidth="1"/>
    <col min="2" max="2" width="20.375" customWidth="1"/>
    <col min="3" max="3" width="37.25" style="18" customWidth="1"/>
  </cols>
  <sheetData>
    <row r="1" ht="15" customHeight="1" spans="1:3">
      <c r="A1" s="2" t="s">
        <v>0</v>
      </c>
      <c r="C1" s="15">
        <v>100000</v>
      </c>
    </row>
    <row r="2" ht="15" customHeight="1" spans="1:3">
      <c r="A2" s="2" t="s">
        <v>1</v>
      </c>
      <c r="C2" s="16">
        <f>SUM(成本明细[金额(元)])</f>
        <v>99761.38</v>
      </c>
    </row>
    <row r="3" ht="15" customHeight="1" spans="1:3">
      <c r="A3" s="2" t="s">
        <v>2</v>
      </c>
      <c r="C3" s="16">
        <f>C1-C2</f>
        <v>238.619999999981</v>
      </c>
    </row>
    <row r="4" ht="15" customHeight="1"/>
    <row r="5" ht="15" customHeight="1" spans="1:3">
      <c r="A5" s="2" t="s">
        <v>3</v>
      </c>
      <c r="B5" s="12" t="s">
        <v>4</v>
      </c>
      <c r="C5" s="6" t="s">
        <v>5</v>
      </c>
    </row>
    <row r="6" ht="15" customHeight="1" spans="1:3">
      <c r="A6" s="5">
        <v>10000</v>
      </c>
      <c r="B6" t="s">
        <v>6</v>
      </c>
      <c r="C6" s="6" t="s">
        <v>7</v>
      </c>
    </row>
    <row r="7" ht="15" customHeight="1" spans="1:3">
      <c r="A7" s="5">
        <v>26000</v>
      </c>
      <c r="B7" t="s">
        <v>6</v>
      </c>
      <c r="C7" s="6" t="s">
        <v>8</v>
      </c>
    </row>
    <row r="8" ht="15" customHeight="1" spans="1:3">
      <c r="A8" s="5">
        <v>6000</v>
      </c>
      <c r="B8" t="s">
        <v>9</v>
      </c>
      <c r="C8" s="6" t="s">
        <v>10</v>
      </c>
    </row>
    <row r="9" ht="15" customHeight="1" spans="1:3">
      <c r="A9" s="5">
        <v>3000</v>
      </c>
      <c r="B9" t="s">
        <v>9</v>
      </c>
      <c r="C9" s="6" t="s">
        <v>11</v>
      </c>
    </row>
    <row r="10" ht="15" customHeight="1" spans="1:3">
      <c r="A10" s="5">
        <v>2100</v>
      </c>
      <c r="B10" t="s">
        <v>9</v>
      </c>
      <c r="C10" s="6" t="s">
        <v>12</v>
      </c>
    </row>
    <row r="11" ht="15" customHeight="1" spans="1:3">
      <c r="A11" s="5">
        <v>340</v>
      </c>
      <c r="B11" t="s">
        <v>9</v>
      </c>
      <c r="C11" s="6" t="s">
        <v>13</v>
      </c>
    </row>
    <row r="12" ht="15" customHeight="1" spans="1:3">
      <c r="A12" s="5">
        <v>200</v>
      </c>
      <c r="B12" t="s">
        <v>14</v>
      </c>
      <c r="C12" s="6" t="s">
        <v>15</v>
      </c>
    </row>
    <row r="13" ht="15" customHeight="1" spans="1:3">
      <c r="A13" s="5">
        <v>11000</v>
      </c>
      <c r="B13" t="s">
        <v>16</v>
      </c>
      <c r="C13" s="6" t="s">
        <v>17</v>
      </c>
    </row>
    <row r="14" ht="15" customHeight="1" spans="1:3">
      <c r="A14" s="5">
        <v>5000</v>
      </c>
      <c r="B14" t="s">
        <v>9</v>
      </c>
      <c r="C14" s="6" t="s">
        <v>18</v>
      </c>
    </row>
    <row r="15" ht="15" customHeight="1" spans="1:3">
      <c r="A15" s="5">
        <v>755</v>
      </c>
      <c r="B15" t="s">
        <v>16</v>
      </c>
      <c r="C15" s="6" t="s">
        <v>19</v>
      </c>
    </row>
    <row r="16" ht="15" customHeight="1" spans="1:3">
      <c r="A16" s="5">
        <v>190</v>
      </c>
      <c r="B16" t="s">
        <v>9</v>
      </c>
      <c r="C16" s="6" t="s">
        <v>20</v>
      </c>
    </row>
    <row r="17" ht="15" customHeight="1" spans="1:3">
      <c r="A17" s="5">
        <v>405.9</v>
      </c>
      <c r="B17" t="s">
        <v>16</v>
      </c>
      <c r="C17" s="6" t="s">
        <v>21</v>
      </c>
    </row>
    <row r="18" ht="15" customHeight="1" spans="1:3">
      <c r="A18" s="5">
        <v>228</v>
      </c>
      <c r="B18" t="s">
        <v>16</v>
      </c>
      <c r="C18" s="6" t="s">
        <v>22</v>
      </c>
    </row>
    <row r="19" ht="15" customHeight="1" spans="1:3">
      <c r="A19" s="5">
        <v>639.5</v>
      </c>
      <c r="B19" t="s">
        <v>16</v>
      </c>
      <c r="C19" s="6" t="s">
        <v>23</v>
      </c>
    </row>
    <row r="20" ht="15" customHeight="1" spans="1:3">
      <c r="A20" s="5">
        <v>1259.1</v>
      </c>
      <c r="B20" t="s">
        <v>16</v>
      </c>
      <c r="C20" s="6" t="s">
        <v>24</v>
      </c>
    </row>
    <row r="21" ht="15" customHeight="1" spans="1:3">
      <c r="A21" s="5">
        <v>1000</v>
      </c>
      <c r="B21" t="s">
        <v>25</v>
      </c>
      <c r="C21" s="18" t="s">
        <v>26</v>
      </c>
    </row>
    <row r="22" ht="15" customHeight="1" spans="1:3">
      <c r="A22" s="5">
        <v>13260</v>
      </c>
      <c r="B22" t="s">
        <v>25</v>
      </c>
      <c r="C22" s="6" t="s">
        <v>27</v>
      </c>
    </row>
    <row r="23" ht="15" customHeight="1" spans="1:3">
      <c r="A23" s="5">
        <v>47.97</v>
      </c>
      <c r="B23" t="s">
        <v>14</v>
      </c>
      <c r="C23" s="6" t="s">
        <v>28</v>
      </c>
    </row>
    <row r="24" ht="15" customHeight="1" spans="1:3">
      <c r="A24" s="5">
        <v>276.1</v>
      </c>
      <c r="B24" t="s">
        <v>14</v>
      </c>
      <c r="C24" s="6" t="s">
        <v>29</v>
      </c>
    </row>
    <row r="25" ht="15" customHeight="1" spans="1:3">
      <c r="A25" s="5">
        <v>6000</v>
      </c>
      <c r="B25" t="s">
        <v>9</v>
      </c>
      <c r="C25" s="18" t="s">
        <v>30</v>
      </c>
    </row>
    <row r="26" ht="15" customHeight="1" spans="1:3">
      <c r="A26" s="5">
        <v>640</v>
      </c>
      <c r="B26" t="s">
        <v>9</v>
      </c>
      <c r="C26" s="18" t="s">
        <v>31</v>
      </c>
    </row>
    <row r="27" ht="15" customHeight="1" spans="1:3">
      <c r="A27" s="5">
        <v>500</v>
      </c>
      <c r="B27" t="s">
        <v>32</v>
      </c>
      <c r="C27" s="18" t="s">
        <v>33</v>
      </c>
    </row>
    <row r="28" ht="15" customHeight="1" spans="1:3">
      <c r="A28" s="5">
        <v>600</v>
      </c>
      <c r="B28" t="s">
        <v>32</v>
      </c>
      <c r="C28" s="18" t="s">
        <v>34</v>
      </c>
    </row>
    <row r="29" ht="15" customHeight="1" spans="1:3">
      <c r="A29" s="5">
        <v>938</v>
      </c>
      <c r="B29" t="s">
        <v>25</v>
      </c>
      <c r="C29" s="18" t="s">
        <v>35</v>
      </c>
    </row>
    <row r="30" ht="15" customHeight="1" spans="1:3">
      <c r="A30" s="5">
        <v>1000</v>
      </c>
      <c r="B30" t="s">
        <v>25</v>
      </c>
      <c r="C30" s="18" t="s">
        <v>26</v>
      </c>
    </row>
    <row r="31" ht="15" customHeight="1" spans="1:3">
      <c r="A31" s="5">
        <v>60.5</v>
      </c>
      <c r="B31" t="s">
        <v>25</v>
      </c>
      <c r="C31" s="18" t="s">
        <v>36</v>
      </c>
    </row>
    <row r="32" ht="15" customHeight="1" spans="1:3">
      <c r="A32" s="5">
        <v>162.41</v>
      </c>
      <c r="B32" t="s">
        <v>37</v>
      </c>
      <c r="C32" s="18" t="s">
        <v>38</v>
      </c>
    </row>
    <row r="33" ht="15" customHeight="1" spans="1:3">
      <c r="A33" s="5">
        <v>42.16</v>
      </c>
      <c r="B33" t="s">
        <v>25</v>
      </c>
      <c r="C33" s="18" t="s">
        <v>35</v>
      </c>
    </row>
    <row r="34" ht="15" customHeight="1" spans="1:3">
      <c r="A34" s="5">
        <v>1000</v>
      </c>
      <c r="B34" t="s">
        <v>25</v>
      </c>
      <c r="C34" s="18" t="s">
        <v>26</v>
      </c>
    </row>
    <row r="35" ht="15" customHeight="1" spans="1:3">
      <c r="A35" s="17">
        <v>500</v>
      </c>
      <c r="B35" s="19" t="s">
        <v>9</v>
      </c>
      <c r="C35" s="20" t="s">
        <v>39</v>
      </c>
    </row>
    <row r="36" ht="15" customHeight="1" spans="1:3">
      <c r="A36" s="17">
        <v>1300</v>
      </c>
      <c r="B36" s="19" t="s">
        <v>25</v>
      </c>
      <c r="C36" s="20" t="s">
        <v>40</v>
      </c>
    </row>
    <row r="37" ht="15" customHeight="1" spans="1:3">
      <c r="A37" s="17">
        <v>253.84</v>
      </c>
      <c r="B37" s="19" t="s">
        <v>25</v>
      </c>
      <c r="C37" s="20" t="s">
        <v>36</v>
      </c>
    </row>
    <row r="38" ht="15" customHeight="1" spans="1:3">
      <c r="A38" s="17">
        <v>1000</v>
      </c>
      <c r="B38" s="19" t="s">
        <v>25</v>
      </c>
      <c r="C38" s="20" t="s">
        <v>26</v>
      </c>
    </row>
    <row r="39" ht="15" customHeight="1" spans="1:3">
      <c r="A39" s="17">
        <v>355.3</v>
      </c>
      <c r="B39" s="19" t="s">
        <v>25</v>
      </c>
      <c r="C39" s="20" t="s">
        <v>36</v>
      </c>
    </row>
    <row r="40" ht="15" customHeight="1" spans="1:3">
      <c r="A40" s="17">
        <v>3000</v>
      </c>
      <c r="B40" s="19" t="s">
        <v>25</v>
      </c>
      <c r="C40" s="20" t="s">
        <v>41</v>
      </c>
    </row>
    <row r="41" ht="15" customHeight="1" spans="1:3">
      <c r="A41" s="17">
        <v>174</v>
      </c>
      <c r="B41" s="19" t="s">
        <v>25</v>
      </c>
      <c r="C41" s="20" t="s">
        <v>36</v>
      </c>
    </row>
    <row r="42" ht="15" customHeight="1" spans="1:3">
      <c r="A42" s="17">
        <v>33.6</v>
      </c>
      <c r="B42" s="19" t="s">
        <v>14</v>
      </c>
      <c r="C42" s="20" t="s">
        <v>42</v>
      </c>
    </row>
    <row r="43" ht="15" customHeight="1" spans="1:3">
      <c r="A43" s="17">
        <v>500</v>
      </c>
      <c r="B43" s="19" t="s">
        <v>25</v>
      </c>
      <c r="C43" s="20" t="s">
        <v>26</v>
      </c>
    </row>
  </sheetData>
  <dataValidations count="2">
    <dataValidation type="list" allowBlank="1" showInputMessage="1" showErrorMessage="1" sqref="F15:F16">
      <formula1>"房租，装修，其他，设备，食材，推广，水电"</formula1>
    </dataValidation>
    <dataValidation type="list" allowBlank="1" showInputMessage="1" showErrorMessage="1" sqref="B43 B6:B42 F5:F14">
      <formula1>"房租,装修,其他,设备,食材,推广,水电"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48"/>
  <sheetViews>
    <sheetView workbookViewId="0">
      <selection activeCell="A31" sqref="A31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35.5" customWidth="1"/>
  </cols>
  <sheetData>
    <row r="1" customHeight="1" spans="1:2">
      <c r="A1" s="2" t="s">
        <v>43</v>
      </c>
      <c r="B1" s="3">
        <f>SUM(成本明细表_6[成本明细])</f>
        <v>37512.81</v>
      </c>
    </row>
    <row r="2" customHeight="1" spans="1:2">
      <c r="A2" s="2" t="s">
        <v>44</v>
      </c>
      <c r="B2" s="3">
        <f>SUM(营业额明细表_5[营业额明细])</f>
        <v>42435.74</v>
      </c>
    </row>
    <row r="3" customHeight="1" spans="1:2">
      <c r="A3" s="2" t="s">
        <v>45</v>
      </c>
      <c r="B3" s="3">
        <f>B2-B1</f>
        <v>4922.92999999999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5">
        <v>4333</v>
      </c>
      <c r="B7" s="6" t="s">
        <v>6</v>
      </c>
      <c r="C7" s="6" t="s">
        <v>47</v>
      </c>
    </row>
    <row r="8" customHeight="1" spans="1:3">
      <c r="A8" s="5">
        <v>8500</v>
      </c>
      <c r="B8" s="6" t="s">
        <v>48</v>
      </c>
      <c r="C8" s="6" t="s">
        <v>49</v>
      </c>
    </row>
    <row r="9" customHeight="1" spans="1:3">
      <c r="A9" s="5">
        <v>1000</v>
      </c>
      <c r="B9" s="6" t="s">
        <v>25</v>
      </c>
      <c r="C9" s="6" t="s">
        <v>26</v>
      </c>
    </row>
    <row r="10" customHeight="1" spans="1:3">
      <c r="A10" s="5">
        <v>13260</v>
      </c>
      <c r="B10" s="6" t="s">
        <v>25</v>
      </c>
      <c r="C10" s="6" t="s">
        <v>27</v>
      </c>
    </row>
    <row r="11" customHeight="1" spans="1:3">
      <c r="A11" s="5">
        <v>600</v>
      </c>
      <c r="B11" s="6" t="s">
        <v>32</v>
      </c>
      <c r="C11" s="6" t="s">
        <v>34</v>
      </c>
    </row>
    <row r="12" customHeight="1" spans="1:3">
      <c r="A12" s="5">
        <v>938</v>
      </c>
      <c r="B12" s="6" t="s">
        <v>25</v>
      </c>
      <c r="C12" s="6" t="s">
        <v>35</v>
      </c>
    </row>
    <row r="13" customHeight="1" spans="1:3">
      <c r="A13" s="5">
        <v>1000</v>
      </c>
      <c r="B13" s="6" t="s">
        <v>25</v>
      </c>
      <c r="C13" s="6" t="s">
        <v>26</v>
      </c>
    </row>
    <row r="14" customHeight="1" spans="1:3">
      <c r="A14" s="5">
        <v>60.5</v>
      </c>
      <c r="B14" s="6" t="s">
        <v>25</v>
      </c>
      <c r="C14" s="6" t="s">
        <v>36</v>
      </c>
    </row>
    <row r="15" customHeight="1" spans="1:3">
      <c r="A15" s="5">
        <v>162.41</v>
      </c>
      <c r="B15" s="6" t="s">
        <v>37</v>
      </c>
      <c r="C15" s="6" t="s">
        <v>38</v>
      </c>
    </row>
    <row r="16" customHeight="1" spans="1:3">
      <c r="A16" s="5">
        <v>42.16</v>
      </c>
      <c r="B16" s="6" t="s">
        <v>25</v>
      </c>
      <c r="C16" s="6" t="s">
        <v>35</v>
      </c>
    </row>
    <row r="17" customHeight="1" spans="1:3">
      <c r="A17" s="5">
        <v>1000</v>
      </c>
      <c r="B17" s="6" t="s">
        <v>25</v>
      </c>
      <c r="C17" s="6" t="s">
        <v>26</v>
      </c>
    </row>
    <row r="18" customHeight="1" spans="1:3">
      <c r="A18" s="17">
        <v>1300</v>
      </c>
      <c r="B18" s="8" t="s">
        <v>25</v>
      </c>
      <c r="C18" s="8" t="s">
        <v>50</v>
      </c>
    </row>
    <row r="19" customHeight="1" spans="1:3">
      <c r="A19" s="17">
        <v>253.84</v>
      </c>
      <c r="B19" s="8" t="s">
        <v>25</v>
      </c>
      <c r="C19" s="8" t="s">
        <v>36</v>
      </c>
    </row>
    <row r="20" customHeight="1" spans="1:3">
      <c r="A20" s="17">
        <v>1000</v>
      </c>
      <c r="B20" s="8" t="s">
        <v>25</v>
      </c>
      <c r="C20" s="6" t="s">
        <v>26</v>
      </c>
    </row>
    <row r="21" customHeight="1" spans="1:3">
      <c r="A21" s="17">
        <v>355.3</v>
      </c>
      <c r="B21" s="8" t="s">
        <v>25</v>
      </c>
      <c r="C21" s="8" t="s">
        <v>36</v>
      </c>
    </row>
    <row r="22" customHeight="1" spans="1:3">
      <c r="A22" s="17">
        <v>3000</v>
      </c>
      <c r="B22" s="8" t="s">
        <v>25</v>
      </c>
      <c r="C22" s="8" t="s">
        <v>41</v>
      </c>
    </row>
    <row r="23" customHeight="1" spans="1:3">
      <c r="A23" s="17">
        <v>174</v>
      </c>
      <c r="B23" s="8" t="s">
        <v>25</v>
      </c>
      <c r="C23" s="8" t="s">
        <v>36</v>
      </c>
    </row>
    <row r="24" customHeight="1" spans="1:3">
      <c r="A24" s="17">
        <v>33.6</v>
      </c>
      <c r="B24" s="8" t="s">
        <v>14</v>
      </c>
      <c r="C24" s="8" t="s">
        <v>42</v>
      </c>
    </row>
    <row r="25" customHeight="1" spans="1:3">
      <c r="A25" s="17">
        <v>500</v>
      </c>
      <c r="B25" s="8" t="s">
        <v>25</v>
      </c>
      <c r="C25" s="8" t="s">
        <v>26</v>
      </c>
    </row>
    <row r="26" customHeight="1" spans="1:3">
      <c r="A26" s="2"/>
      <c r="B26" s="12"/>
      <c r="C26" s="6"/>
    </row>
    <row r="27" customHeight="1" spans="1:3">
      <c r="A27" s="2"/>
      <c r="B27" s="12"/>
      <c r="C27" s="6"/>
    </row>
    <row r="28" customHeight="1" spans="1:3">
      <c r="A28" s="2"/>
      <c r="B28" s="12"/>
      <c r="C28" s="6"/>
    </row>
    <row r="29" customHeight="1" spans="1:3">
      <c r="A29" s="2" t="s">
        <v>51</v>
      </c>
      <c r="B29" s="12" t="s">
        <v>4</v>
      </c>
      <c r="C29" s="6" t="s">
        <v>5</v>
      </c>
    </row>
    <row r="30" customHeight="1" spans="1:3">
      <c r="A30" s="13">
        <v>6683.96</v>
      </c>
      <c r="B30" s="12" t="s">
        <v>52</v>
      </c>
      <c r="C30" s="6"/>
    </row>
    <row r="31" customHeight="1" spans="1:3">
      <c r="A31" s="13">
        <v>1861.8</v>
      </c>
      <c r="B31" s="12" t="s">
        <v>53</v>
      </c>
      <c r="C31" s="6"/>
    </row>
    <row r="32" customHeight="1" spans="1:3">
      <c r="A32" s="13">
        <v>0</v>
      </c>
      <c r="B32" s="12" t="s">
        <v>54</v>
      </c>
      <c r="C32" s="6"/>
    </row>
    <row r="33" customHeight="1" spans="1:3">
      <c r="A33" s="13">
        <v>19919.1</v>
      </c>
      <c r="B33" s="12" t="s">
        <v>55</v>
      </c>
      <c r="C33" s="6"/>
    </row>
    <row r="34" customHeight="1" spans="1:3">
      <c r="A34" s="13">
        <v>13970.88</v>
      </c>
      <c r="B34" s="12" t="s">
        <v>56</v>
      </c>
      <c r="C34" s="6"/>
    </row>
    <row r="37" customHeight="1" spans="1:3">
      <c r="A37" s="2"/>
      <c r="B37" s="3"/>
      <c r="C37" s="15"/>
    </row>
    <row r="38" customHeight="1" spans="1:3">
      <c r="A38" s="2"/>
      <c r="B38" s="3"/>
      <c r="C38" s="16"/>
    </row>
    <row r="39" customHeight="1" spans="1:3">
      <c r="A39" s="2"/>
      <c r="C39" s="16"/>
    </row>
    <row r="43" customHeight="1" spans="1:3">
      <c r="A43" s="2"/>
      <c r="B43" s="12"/>
      <c r="C43" s="6"/>
    </row>
    <row r="44" customHeight="1" spans="1:3">
      <c r="A44" s="13"/>
      <c r="B44" s="12"/>
      <c r="C44" s="6"/>
    </row>
    <row r="45" customHeight="1" spans="1:3">
      <c r="A45" s="13"/>
      <c r="B45" s="12"/>
      <c r="C45" s="6"/>
    </row>
    <row r="46" customHeight="1" spans="1:3">
      <c r="A46" s="13"/>
      <c r="B46" s="12"/>
      <c r="C46" s="6"/>
    </row>
    <row r="47" customHeight="1" spans="1:3">
      <c r="A47" s="13"/>
      <c r="B47" s="12"/>
      <c r="C47" s="6"/>
    </row>
    <row r="48" customHeight="1" spans="1:3">
      <c r="A48" s="13"/>
      <c r="B48" s="12"/>
      <c r="C48" s="6"/>
    </row>
  </sheetData>
  <dataValidations count="2">
    <dataValidation type="list" allowBlank="1" showInputMessage="1" showErrorMessage="1" sqref="B21:B25">
      <formula1>"房租,装修,其他,设备,食材,推广,水电"</formula1>
    </dataValidation>
    <dataValidation type="list" allowBlank="1" showInputMessage="1" showErrorMessage="1" sqref="B7:B20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C78"/>
  <sheetViews>
    <sheetView tabSelected="1" workbookViewId="0">
      <selection activeCell="C66" sqref="C66"/>
    </sheetView>
  </sheetViews>
  <sheetFormatPr defaultColWidth="9" defaultRowHeight="15" customHeight="1" outlineLevelCol="2"/>
  <cols>
    <col min="1" max="1" width="21.125" customWidth="1"/>
    <col min="2" max="2" width="19.75" customWidth="1"/>
    <col min="3" max="3" width="95.5" customWidth="1"/>
  </cols>
  <sheetData>
    <row r="1" customHeight="1" spans="1:2">
      <c r="A1" s="2" t="s">
        <v>43</v>
      </c>
      <c r="B1" s="3">
        <f>SUM(成本明细表[成本明细])</f>
        <v>71945.29</v>
      </c>
    </row>
    <row r="2" customHeight="1" spans="1:2">
      <c r="A2" s="2" t="s">
        <v>44</v>
      </c>
      <c r="B2" s="3">
        <f>SUM(营业额明细表[营业额明细])</f>
        <v>60397.21</v>
      </c>
    </row>
    <row r="3" customHeight="1" spans="1:2">
      <c r="A3" s="2" t="s">
        <v>45</v>
      </c>
      <c r="B3" s="4">
        <f>B2-B1</f>
        <v>-11548.08</v>
      </c>
    </row>
    <row r="6" customHeight="1" spans="1:3">
      <c r="A6" s="5" t="s">
        <v>46</v>
      </c>
      <c r="B6" s="6" t="s">
        <v>4</v>
      </c>
      <c r="C6" s="6" t="s">
        <v>5</v>
      </c>
    </row>
    <row r="7" customHeight="1" spans="1:3">
      <c r="A7" s="7">
        <v>4333</v>
      </c>
      <c r="B7" s="6" t="s">
        <v>6</v>
      </c>
      <c r="C7" s="6" t="s">
        <v>47</v>
      </c>
    </row>
    <row r="8" customHeight="1" spans="1:3">
      <c r="A8" s="7">
        <v>15000</v>
      </c>
      <c r="B8" s="6" t="s">
        <v>48</v>
      </c>
      <c r="C8" s="6" t="s">
        <v>57</v>
      </c>
    </row>
    <row r="9" customHeight="1" spans="1:3">
      <c r="A9" s="7">
        <v>3000</v>
      </c>
      <c r="B9" s="6" t="s">
        <v>37</v>
      </c>
      <c r="C9" s="6" t="s">
        <v>57</v>
      </c>
    </row>
    <row r="10" customHeight="1" spans="1:3">
      <c r="A10" s="7">
        <v>4140</v>
      </c>
      <c r="B10" s="6" t="s">
        <v>25</v>
      </c>
      <c r="C10" s="6" t="s">
        <v>58</v>
      </c>
    </row>
    <row r="11" customHeight="1" spans="1:3">
      <c r="A11" s="7">
        <v>7866</v>
      </c>
      <c r="B11" s="8" t="s">
        <v>25</v>
      </c>
      <c r="C11" s="8" t="s">
        <v>59</v>
      </c>
    </row>
    <row r="12" customHeight="1" spans="1:3">
      <c r="A12" s="7">
        <v>28.64</v>
      </c>
      <c r="B12" s="8" t="s">
        <v>14</v>
      </c>
      <c r="C12" s="8" t="s">
        <v>60</v>
      </c>
    </row>
    <row r="13" customHeight="1" spans="1:3">
      <c r="A13" s="7">
        <v>44.48</v>
      </c>
      <c r="B13" s="8" t="s">
        <v>25</v>
      </c>
      <c r="C13" s="8" t="s">
        <v>36</v>
      </c>
    </row>
    <row r="14" customHeight="1" spans="1:3">
      <c r="A14" s="7">
        <v>3000</v>
      </c>
      <c r="B14" s="8" t="s">
        <v>25</v>
      </c>
      <c r="C14" s="8" t="s">
        <v>26</v>
      </c>
    </row>
    <row r="15" customHeight="1" spans="1:3">
      <c r="A15" s="7">
        <v>23</v>
      </c>
      <c r="B15" s="8" t="s">
        <v>25</v>
      </c>
      <c r="C15" s="8" t="s">
        <v>61</v>
      </c>
    </row>
    <row r="16" customHeight="1" spans="1:3">
      <c r="A16" s="7">
        <v>468</v>
      </c>
      <c r="B16" s="8" t="s">
        <v>25</v>
      </c>
      <c r="C16" s="8" t="s">
        <v>62</v>
      </c>
    </row>
    <row r="17" customHeight="1" spans="1:3">
      <c r="A17" s="7">
        <v>385</v>
      </c>
      <c r="B17" s="8" t="s">
        <v>25</v>
      </c>
      <c r="C17" s="8" t="s">
        <v>63</v>
      </c>
    </row>
    <row r="18" s="1" customFormat="1" customHeight="1" spans="1:3">
      <c r="A18" s="7">
        <v>295</v>
      </c>
      <c r="B18" s="8" t="s">
        <v>25</v>
      </c>
      <c r="C18" s="8" t="s">
        <v>64</v>
      </c>
    </row>
    <row r="19" s="1" customFormat="1" customHeight="1" spans="1:3">
      <c r="A19" s="7">
        <v>718</v>
      </c>
      <c r="B19" s="8" t="s">
        <v>25</v>
      </c>
      <c r="C19" s="8" t="s">
        <v>65</v>
      </c>
    </row>
    <row r="20" s="1" customFormat="1" customHeight="1" spans="1:3">
      <c r="A20" s="7">
        <v>57.6</v>
      </c>
      <c r="B20" s="8" t="s">
        <v>25</v>
      </c>
      <c r="C20" s="8" t="s">
        <v>66</v>
      </c>
    </row>
    <row r="21" customHeight="1" spans="1:3">
      <c r="A21" s="7">
        <v>302.5</v>
      </c>
      <c r="B21" s="8" t="s">
        <v>25</v>
      </c>
      <c r="C21" s="8" t="s">
        <v>67</v>
      </c>
    </row>
    <row r="22" customHeight="1" spans="1:3">
      <c r="A22" s="7">
        <v>400</v>
      </c>
      <c r="B22" s="8" t="s">
        <v>32</v>
      </c>
      <c r="C22" s="8" t="s">
        <v>68</v>
      </c>
    </row>
    <row r="23" customHeight="1" spans="1:3">
      <c r="A23" s="9">
        <v>225</v>
      </c>
      <c r="B23" s="8" t="s">
        <v>25</v>
      </c>
      <c r="C23" s="8" t="s">
        <v>69</v>
      </c>
    </row>
    <row r="24" customHeight="1" spans="1:3">
      <c r="A24" s="9">
        <v>350</v>
      </c>
      <c r="B24" s="8" t="s">
        <v>25</v>
      </c>
      <c r="C24" s="8" t="s">
        <v>70</v>
      </c>
    </row>
    <row r="25" customHeight="1" spans="1:3">
      <c r="A25" s="9">
        <v>112</v>
      </c>
      <c r="B25" s="8" t="s">
        <v>25</v>
      </c>
      <c r="C25" s="8" t="s">
        <v>71</v>
      </c>
    </row>
    <row r="26" customHeight="1" spans="1:3">
      <c r="A26" s="9">
        <v>198</v>
      </c>
      <c r="B26" s="8" t="s">
        <v>25</v>
      </c>
      <c r="C26" s="8" t="s">
        <v>72</v>
      </c>
    </row>
    <row r="27" customHeight="1" spans="1:3">
      <c r="A27" s="9">
        <v>100</v>
      </c>
      <c r="B27" s="8" t="s">
        <v>32</v>
      </c>
      <c r="C27" s="8" t="s">
        <v>73</v>
      </c>
    </row>
    <row r="28" customHeight="1" spans="1:3">
      <c r="A28" s="9">
        <v>362</v>
      </c>
      <c r="B28" s="8" t="s">
        <v>25</v>
      </c>
      <c r="C28" s="8" t="s">
        <v>74</v>
      </c>
    </row>
    <row r="29" customHeight="1" spans="1:3">
      <c r="A29" s="9">
        <v>300</v>
      </c>
      <c r="B29" s="8" t="s">
        <v>32</v>
      </c>
      <c r="C29" s="8" t="s">
        <v>75</v>
      </c>
    </row>
    <row r="30" customHeight="1" spans="1:3">
      <c r="A30" s="9">
        <v>128</v>
      </c>
      <c r="B30" s="8" t="s">
        <v>25</v>
      </c>
      <c r="C30" s="8" t="s">
        <v>76</v>
      </c>
    </row>
    <row r="31" customHeight="1" spans="1:3">
      <c r="A31" s="9">
        <v>304.63</v>
      </c>
      <c r="B31" s="8" t="s">
        <v>25</v>
      </c>
      <c r="C31" s="8" t="s">
        <v>67</v>
      </c>
    </row>
    <row r="32" customHeight="1" spans="1:3">
      <c r="A32" s="9">
        <v>4355.5</v>
      </c>
      <c r="B32" s="8" t="s">
        <v>25</v>
      </c>
      <c r="C32" s="8" t="s">
        <v>77</v>
      </c>
    </row>
    <row r="33" customHeight="1" spans="1:3">
      <c r="A33" s="9">
        <v>-180</v>
      </c>
      <c r="B33" s="8" t="s">
        <v>25</v>
      </c>
      <c r="C33" s="8" t="s">
        <v>78</v>
      </c>
    </row>
    <row r="34" customHeight="1" spans="1:3">
      <c r="A34" s="9">
        <v>350</v>
      </c>
      <c r="B34" s="8" t="s">
        <v>25</v>
      </c>
      <c r="C34" s="8" t="s">
        <v>79</v>
      </c>
    </row>
    <row r="35" customHeight="1" spans="1:3">
      <c r="A35" s="9">
        <v>224</v>
      </c>
      <c r="B35" s="8" t="s">
        <v>25</v>
      </c>
      <c r="C35" s="8" t="s">
        <v>80</v>
      </c>
    </row>
    <row r="36" customHeight="1" spans="1:3">
      <c r="A36" s="9">
        <v>177</v>
      </c>
      <c r="B36" s="8" t="s">
        <v>25</v>
      </c>
      <c r="C36" s="8" t="s">
        <v>81</v>
      </c>
    </row>
    <row r="37" customHeight="1" spans="1:3">
      <c r="A37" s="9">
        <v>112.2</v>
      </c>
      <c r="B37" s="8" t="s">
        <v>25</v>
      </c>
      <c r="C37" s="8" t="s">
        <v>82</v>
      </c>
    </row>
    <row r="38" customHeight="1" spans="1:3">
      <c r="A38" s="9">
        <v>-896</v>
      </c>
      <c r="B38" s="8" t="s">
        <v>25</v>
      </c>
      <c r="C38" s="8" t="s">
        <v>83</v>
      </c>
    </row>
    <row r="39" customHeight="1" spans="1:3">
      <c r="A39" s="9">
        <v>1188</v>
      </c>
      <c r="B39" s="8" t="s">
        <v>25</v>
      </c>
      <c r="C39" s="8" t="s">
        <v>84</v>
      </c>
    </row>
    <row r="40" customHeight="1" spans="1:3">
      <c r="A40" s="9">
        <v>2500</v>
      </c>
      <c r="B40" s="8" t="s">
        <v>25</v>
      </c>
      <c r="C40" s="8" t="s">
        <v>85</v>
      </c>
    </row>
    <row r="41" customHeight="1" spans="1:3">
      <c r="A41" s="9">
        <v>299</v>
      </c>
      <c r="B41" s="8" t="s">
        <v>14</v>
      </c>
      <c r="C41" s="8" t="s">
        <v>86</v>
      </c>
    </row>
    <row r="42" customHeight="1" spans="1:3">
      <c r="A42" s="9">
        <v>-433</v>
      </c>
      <c r="B42" s="8" t="s">
        <v>25</v>
      </c>
      <c r="C42" s="8" t="s">
        <v>87</v>
      </c>
    </row>
    <row r="43" customHeight="1" spans="1:3">
      <c r="A43" s="9">
        <v>50</v>
      </c>
      <c r="B43" s="8" t="s">
        <v>32</v>
      </c>
      <c r="C43" s="8" t="s">
        <v>88</v>
      </c>
    </row>
    <row r="44" customHeight="1" spans="1:3">
      <c r="A44" s="9">
        <v>601.92</v>
      </c>
      <c r="B44" s="8" t="s">
        <v>25</v>
      </c>
      <c r="C44" s="8" t="s">
        <v>89</v>
      </c>
    </row>
    <row r="45" customHeight="1" spans="1:3">
      <c r="A45" s="9">
        <v>390</v>
      </c>
      <c r="B45" s="8" t="s">
        <v>25</v>
      </c>
      <c r="C45" s="8" t="s">
        <v>90</v>
      </c>
    </row>
    <row r="46" customHeight="1" spans="1:3">
      <c r="A46" s="9">
        <v>300</v>
      </c>
      <c r="B46" s="8" t="s">
        <v>37</v>
      </c>
      <c r="C46" s="8" t="s">
        <v>91</v>
      </c>
    </row>
    <row r="47" customHeight="1" spans="1:3">
      <c r="A47" s="9">
        <v>125.1</v>
      </c>
      <c r="B47" s="8" t="s">
        <v>25</v>
      </c>
      <c r="C47" s="8" t="s">
        <v>92</v>
      </c>
    </row>
    <row r="48" customHeight="1" spans="1:3">
      <c r="A48" s="9">
        <v>170</v>
      </c>
      <c r="B48" s="8" t="s">
        <v>25</v>
      </c>
      <c r="C48" s="8" t="s">
        <v>93</v>
      </c>
    </row>
    <row r="49" customHeight="1" spans="1:3">
      <c r="A49" s="9">
        <v>1486.65</v>
      </c>
      <c r="B49" s="8" t="s">
        <v>14</v>
      </c>
      <c r="C49" s="8" t="s">
        <v>94</v>
      </c>
    </row>
    <row r="50" customHeight="1" spans="1:3">
      <c r="A50" s="9">
        <v>198</v>
      </c>
      <c r="B50" s="8" t="s">
        <v>25</v>
      </c>
      <c r="C50" s="8" t="s">
        <v>72</v>
      </c>
    </row>
    <row r="51" customHeight="1" spans="1:3">
      <c r="A51" s="9">
        <v>308</v>
      </c>
      <c r="B51" s="8" t="s">
        <v>25</v>
      </c>
      <c r="C51" s="8" t="s">
        <v>95</v>
      </c>
    </row>
    <row r="52" customHeight="1" spans="1:3">
      <c r="A52" s="9">
        <v>7560</v>
      </c>
      <c r="B52" s="8" t="s">
        <v>25</v>
      </c>
      <c r="C52" s="8" t="s">
        <v>96</v>
      </c>
    </row>
    <row r="53" customHeight="1" spans="1:3">
      <c r="A53" s="9">
        <v>500</v>
      </c>
      <c r="B53" s="8" t="s">
        <v>25</v>
      </c>
      <c r="C53" s="8" t="s">
        <v>26</v>
      </c>
    </row>
    <row r="54" customHeight="1" spans="1:3">
      <c r="A54" s="9">
        <v>195</v>
      </c>
      <c r="B54" s="8" t="s">
        <v>25</v>
      </c>
      <c r="C54" s="8" t="s">
        <v>97</v>
      </c>
    </row>
    <row r="55" customHeight="1" spans="1:3">
      <c r="A55" s="9">
        <v>33.9</v>
      </c>
      <c r="B55" s="8" t="s">
        <v>14</v>
      </c>
      <c r="C55" s="8" t="s">
        <v>98</v>
      </c>
    </row>
    <row r="56" customHeight="1" spans="1:3">
      <c r="A56" s="9">
        <v>1410</v>
      </c>
      <c r="B56" s="8" t="s">
        <v>25</v>
      </c>
      <c r="C56" s="8" t="s">
        <v>99</v>
      </c>
    </row>
    <row r="57" customHeight="1" spans="1:3">
      <c r="A57" s="9">
        <v>81.65</v>
      </c>
      <c r="B57" s="8" t="s">
        <v>14</v>
      </c>
      <c r="C57" s="8" t="s">
        <v>100</v>
      </c>
    </row>
    <row r="58" customHeight="1" spans="1:3">
      <c r="A58" s="9">
        <v>551.92</v>
      </c>
      <c r="B58" s="8" t="s">
        <v>25</v>
      </c>
      <c r="C58" s="8" t="s">
        <v>36</v>
      </c>
    </row>
    <row r="59" customHeight="1" spans="1:3">
      <c r="A59" s="9">
        <v>246</v>
      </c>
      <c r="B59" s="8" t="s">
        <v>25</v>
      </c>
      <c r="C59" s="8" t="s">
        <v>101</v>
      </c>
    </row>
    <row r="60" customHeight="1" spans="1:3">
      <c r="A60" s="9">
        <v>244.6</v>
      </c>
      <c r="B60" s="8" t="s">
        <v>25</v>
      </c>
      <c r="C60" s="8" t="s">
        <v>102</v>
      </c>
    </row>
    <row r="61" customHeight="1" spans="1:3">
      <c r="A61" s="9">
        <v>500</v>
      </c>
      <c r="B61" s="8" t="s">
        <v>25</v>
      </c>
      <c r="C61" s="8" t="s">
        <v>26</v>
      </c>
    </row>
    <row r="62" customHeight="1" spans="1:3">
      <c r="A62" s="9">
        <v>480</v>
      </c>
      <c r="B62" s="8" t="s">
        <v>25</v>
      </c>
      <c r="C62" s="8" t="s">
        <v>103</v>
      </c>
    </row>
    <row r="63" customHeight="1" spans="1:3">
      <c r="A63" s="9">
        <v>120</v>
      </c>
      <c r="B63" s="8" t="s">
        <v>25</v>
      </c>
      <c r="C63" s="8" t="s">
        <v>104</v>
      </c>
    </row>
    <row r="64" customHeight="1" spans="1:3">
      <c r="A64" s="10">
        <v>6555</v>
      </c>
      <c r="B64" s="11" t="s">
        <v>25</v>
      </c>
      <c r="C64" s="11" t="s">
        <v>105</v>
      </c>
    </row>
    <row r="65" customHeight="1" spans="1:3">
      <c r="A65" s="2"/>
      <c r="B65" s="12"/>
      <c r="C65" s="6"/>
    </row>
    <row r="66" customHeight="1" spans="1:3">
      <c r="A66" s="2"/>
      <c r="B66" s="12"/>
      <c r="C66" s="6"/>
    </row>
    <row r="67" customHeight="1" spans="1:3">
      <c r="A67" s="2"/>
      <c r="B67" s="12"/>
      <c r="C67" s="6"/>
    </row>
    <row r="68" customHeight="1" spans="1:3">
      <c r="A68" s="2"/>
      <c r="B68" s="12"/>
      <c r="C68" s="6"/>
    </row>
    <row r="69" customHeight="1" spans="1:3">
      <c r="A69" s="2" t="s">
        <v>51</v>
      </c>
      <c r="B69" s="12" t="s">
        <v>4</v>
      </c>
      <c r="C69" s="6" t="s">
        <v>5</v>
      </c>
    </row>
    <row r="70" customHeight="1" spans="1:3">
      <c r="A70" s="13">
        <v>6783.56</v>
      </c>
      <c r="B70" s="12" t="s">
        <v>52</v>
      </c>
      <c r="C70" s="6"/>
    </row>
    <row r="71" customHeight="1" spans="1:3">
      <c r="A71" s="13">
        <v>1869.52</v>
      </c>
      <c r="B71" s="12" t="s">
        <v>53</v>
      </c>
      <c r="C71" s="6"/>
    </row>
    <row r="72" customHeight="1" spans="1:3">
      <c r="A72" s="13">
        <v>7343.59</v>
      </c>
      <c r="B72" s="12" t="s">
        <v>54</v>
      </c>
      <c r="C72" s="6"/>
    </row>
    <row r="73" customHeight="1" spans="1:3">
      <c r="A73" s="13">
        <v>23835.11</v>
      </c>
      <c r="B73" s="12" t="s">
        <v>55</v>
      </c>
      <c r="C73" s="6"/>
    </row>
    <row r="74" customHeight="1" spans="1:3">
      <c r="A74" s="14">
        <v>20565.43</v>
      </c>
      <c r="B74" s="12" t="s">
        <v>56</v>
      </c>
      <c r="C74" s="8"/>
    </row>
    <row r="76" customHeight="1" spans="1:3">
      <c r="A76" s="2"/>
      <c r="B76" s="3"/>
      <c r="C76" s="15"/>
    </row>
    <row r="77" customHeight="1" spans="1:3">
      <c r="A77" s="2"/>
      <c r="B77" s="3"/>
      <c r="C77" s="16"/>
    </row>
    <row r="78" customHeight="1" spans="1:3">
      <c r="A78" s="2"/>
      <c r="C78" s="16"/>
    </row>
  </sheetData>
  <dataValidations count="1">
    <dataValidation type="list" allowBlank="1" showInputMessage="1" showErrorMessage="1" sqref="B9 B52 B53 B54 B55 B56 B57 B58 B59 B60 B61 B62 B63 B64 B7:B8 B10:B51">
      <formula1>"房租,其他,食材,推广,水电,工资"</formula1>
    </dataValidation>
  </dataValidations>
  <pageMargins left="0.7" right="0.7" top="0.75" bottom="0.75" header="0.3" footer="0.3"/>
  <pageSetup paperSize="9" orientation="portrait"/>
  <headerFooter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开店成本清单</vt:lpstr>
      <vt:lpstr>2026-02流水 </vt:lpstr>
      <vt:lpstr>2026-03流水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2026-02-12T19:28:00Z</dcterms:created>
  <dcterms:modified xsi:type="dcterms:W3CDTF">2026-03-26T14:01:16Z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