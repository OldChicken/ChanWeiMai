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014E43B8-A63E-4D13-9A7A-769A5A6839BD}" xr6:coauthVersionLast="47" xr6:coauthVersionMax="47" xr10:uidLastSave="{00000000-0000-0000-0000-000000000000}"/>
  <bookViews>
    <workbookView xWindow="1560" yWindow="1545" windowWidth="35070" windowHeight="19335" xr2:uid="{00000000-000D-0000-FFFF-FFFF00000000}"/>
  </bookViews>
  <sheets>
    <sheet name="开店成本清单" sheetId="1" r:id="rId1"/>
    <sheet name="流水-202602" sheetId="2" r:id="rId2"/>
  </sheets>
  <calcPr calcId="191029"/>
</workbook>
</file>

<file path=xl/calcChain.xml><?xml version="1.0" encoding="utf-8"?>
<calcChain xmlns="http://schemas.openxmlformats.org/spreadsheetml/2006/main">
  <c r="C2" i="1" l="1"/>
  <c r="C3" i="1" s="1"/>
  <c r="B30" i="2"/>
  <c r="B29" i="2"/>
</calcChain>
</file>

<file path=xl/sharedStrings.xml><?xml version="1.0" encoding="utf-8"?>
<sst xmlns="http://schemas.openxmlformats.org/spreadsheetml/2006/main" count="130" uniqueCount="57">
  <si>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</si>
  <si>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</si>
  <si>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</si>
  <si>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</si>
  <si>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</si>
  <si>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</si>
  <si>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</si>
  <si>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</si>
  <si>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</si>
  <si>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</si>
  <si>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</si>
  <si>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</si>
  <si>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</si>
  <si>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</si>
  <si>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</si>
  <si>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</si>
  <si>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</si>
  <si>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</si>
  <si>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</si>
  <si>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</si>
  <si>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</si>
  <si>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</si>
  <si>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</si>
  <si>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</si>
  <si>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</si>
  <si>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</si>
  <si>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</si>
  <si>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</si>
  <si>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</si>
  <si>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</si>
  <si>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</si>
  <si>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</si>
  <si>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</si>
  <si>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</si>
  <si>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</si>
  <si>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</si>
  <si>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</si>
  <si>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</si>
  <si>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</si>
  <si>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</si>
  <si>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</si>
  <si>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</si>
  <si>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</si>
  <si>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</si>
  <si>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</si>
  <si>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</si>
  <si>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</si>
  <si>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</si>
  <si>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</si>
  <si>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</si>
  <si>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</si>
  <si>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</si>
  <si>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</si>
  <si>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</si>
  <si>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</si>
  <si>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</si>
  <si>
    <t>硅胶防烫套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</si>
</sst>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4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176" fontId="2" fillId="0" borderId="0" xfId="0" applyNumberFormat="1" applyFont="1" applyAlignment="1">
      <alignment horizontal="left"/>
    </xf>
    <xf numFmtId="0" fontId="2" fillId="0" borderId="0" xfId="0" applyFont="1"/>
    <xf numFmtId="4" fontId="2" fillId="0" borderId="0" xfId="0" applyNumberFormat="1" applyFont="1"/>
    <xf numFmtId="4" fontId="2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2" totalsRowShown="0">
  <autoFilter ref="A5:C42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营业额明细表" displayName="营业额明细表" ref="A22:C26" totalsRowShown="0">
  <autoFilter ref="A22:C26" xr:uid="{00000000-0009-0000-0100-000002000000}"/>
  <tableColumns count="3">
    <tableColumn id="1" xr3:uid="{00000000-0010-0000-0100-000001000000}" name="营业额明细" dataDxfId="5"/>
    <tableColumn id="2" xr3:uid="{00000000-0010-0000-0100-000002000000}" name="分类" dataDxfId="4"/>
    <tableColumn id="3" xr3:uid="{00000000-0010-0000-0100-000003000000}" name="说明" dataDxfId="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成本明细表" displayName="成本明细表" ref="A1:C19" totalsRowShown="0">
  <autoFilter ref="A1:C19" xr:uid="{00000000-0009-0000-0100-000003000000}"/>
  <tableColumns count="3">
    <tableColumn id="2" xr3:uid="{00000000-0010-0000-0200-000002000000}" name="成本明细" dataDxfId="2"/>
    <tableColumn id="4" xr3:uid="{00000000-0010-0000-0200-000004000000}" name="分类" dataDxfId="1"/>
    <tableColumn id="1" xr3:uid="{00000000-0010-0000-02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4"/>
  <sheetViews>
    <sheetView tabSelected="1" workbookViewId="0">
      <selection activeCell="C42" sqref="A42:C42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99261.380000000019</v>
      </c>
    </row>
    <row r="3" spans="1:3" ht="15" customHeight="1" x14ac:dyDescent="0.15">
      <c r="A3" s="5" t="s">
        <v>2</v>
      </c>
      <c r="C3" s="10">
        <f>C1-C2</f>
        <v>738.61999999998079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60.5</v>
      </c>
      <c r="B31" t="s">
        <v>25</v>
      </c>
      <c r="C31" s="11" t="s">
        <v>36</v>
      </c>
    </row>
    <row r="32" spans="1:3" ht="15" customHeight="1" x14ac:dyDescent="0.15">
      <c r="A32" s="1">
        <v>162.41</v>
      </c>
      <c r="B32" t="s">
        <v>37</v>
      </c>
      <c r="C32" s="11" t="s">
        <v>38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39</v>
      </c>
    </row>
    <row r="36" spans="1:3" ht="15" customHeight="1" x14ac:dyDescent="0.15">
      <c r="A36" s="3">
        <v>1300</v>
      </c>
      <c r="B36" s="12" t="s">
        <v>25</v>
      </c>
      <c r="C36" s="13" t="s">
        <v>40</v>
      </c>
    </row>
    <row r="37" spans="1:3" ht="15" customHeight="1" x14ac:dyDescent="0.15">
      <c r="A37" s="3">
        <v>253.84</v>
      </c>
      <c r="B37" s="12" t="s">
        <v>25</v>
      </c>
      <c r="C37" s="13" t="s">
        <v>36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3">
        <v>355.3</v>
      </c>
      <c r="B39" s="12" t="s">
        <v>25</v>
      </c>
      <c r="C39" s="13" t="s">
        <v>36</v>
      </c>
    </row>
    <row r="40" spans="1:3" ht="15" customHeight="1" x14ac:dyDescent="0.15">
      <c r="A40" s="3">
        <v>3000</v>
      </c>
      <c r="B40" s="12" t="s">
        <v>25</v>
      </c>
      <c r="C40" s="13" t="s">
        <v>41</v>
      </c>
    </row>
    <row r="41" spans="1:3" ht="15" customHeight="1" x14ac:dyDescent="0.15">
      <c r="A41" s="14">
        <v>174</v>
      </c>
      <c r="B41" s="15" t="s">
        <v>25</v>
      </c>
      <c r="C41" s="16" t="s">
        <v>36</v>
      </c>
    </row>
    <row r="42" spans="1:3" ht="15" customHeight="1" x14ac:dyDescent="0.15">
      <c r="A42" s="14">
        <v>33.6</v>
      </c>
      <c r="B42" s="15" t="s">
        <v>14</v>
      </c>
      <c r="C42" s="16" t="s">
        <v>56</v>
      </c>
    </row>
    <row r="43" spans="1:3" ht="15" customHeight="1" x14ac:dyDescent="0.15"/>
    <row r="44" spans="1:3" ht="15" customHeight="1" x14ac:dyDescent="0.15"/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2"/>
  <sheetViews>
    <sheetView workbookViewId="0">
      <selection activeCell="D35" sqref="D35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42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43</v>
      </c>
    </row>
    <row r="3" spans="1:3" ht="15" customHeight="1" x14ac:dyDescent="0.15">
      <c r="A3" s="1">
        <v>12000</v>
      </c>
      <c r="B3" s="2" t="s">
        <v>44</v>
      </c>
      <c r="C3" s="2" t="s">
        <v>45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60.5</v>
      </c>
      <c r="B9" s="2" t="s">
        <v>25</v>
      </c>
      <c r="C9" s="2" t="s">
        <v>36</v>
      </c>
    </row>
    <row r="10" spans="1:3" ht="15" customHeight="1" x14ac:dyDescent="0.15">
      <c r="A10" s="1">
        <v>162.41</v>
      </c>
      <c r="B10" s="2" t="s">
        <v>37</v>
      </c>
      <c r="C10" s="2" t="s">
        <v>38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46</v>
      </c>
    </row>
    <row r="14" spans="1:3" ht="15" customHeight="1" x14ac:dyDescent="0.15">
      <c r="A14" s="3">
        <v>253.84</v>
      </c>
      <c r="B14" s="4" t="s">
        <v>25</v>
      </c>
      <c r="C14" s="4" t="s">
        <v>36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3">
        <v>355.3</v>
      </c>
      <c r="B16" s="4" t="s">
        <v>25</v>
      </c>
      <c r="C16" s="4" t="s">
        <v>36</v>
      </c>
    </row>
    <row r="17" spans="1:3" ht="15" customHeight="1" x14ac:dyDescent="0.15">
      <c r="A17" s="3">
        <v>3000</v>
      </c>
      <c r="B17" s="4" t="s">
        <v>25</v>
      </c>
      <c r="C17" s="4" t="s">
        <v>41</v>
      </c>
    </row>
    <row r="18" spans="1:3" ht="15" customHeight="1" x14ac:dyDescent="0.15">
      <c r="A18" s="14">
        <v>174</v>
      </c>
      <c r="B18" s="17" t="s">
        <v>25</v>
      </c>
      <c r="C18" s="17" t="s">
        <v>36</v>
      </c>
    </row>
    <row r="19" spans="1:3" ht="15" customHeight="1" x14ac:dyDescent="0.15">
      <c r="A19" s="14">
        <v>33.6</v>
      </c>
      <c r="B19" s="17" t="s">
        <v>14</v>
      </c>
      <c r="C19" s="17" t="s">
        <v>56</v>
      </c>
    </row>
    <row r="20" spans="1:3" ht="15" customHeight="1" x14ac:dyDescent="0.15">
      <c r="A20" s="5"/>
      <c r="B20" s="6"/>
      <c r="C20" s="2"/>
    </row>
    <row r="21" spans="1:3" ht="15" customHeight="1" x14ac:dyDescent="0.15">
      <c r="A21" s="5"/>
      <c r="B21" s="6"/>
      <c r="C21" s="2"/>
    </row>
    <row r="22" spans="1:3" ht="15" customHeight="1" x14ac:dyDescent="0.15">
      <c r="A22" s="5" t="s">
        <v>47</v>
      </c>
      <c r="B22" s="6" t="s">
        <v>4</v>
      </c>
      <c r="C22" s="2" t="s">
        <v>5</v>
      </c>
    </row>
    <row r="23" spans="1:3" ht="15" customHeight="1" x14ac:dyDescent="0.15">
      <c r="A23" s="7">
        <v>6596.29</v>
      </c>
      <c r="B23" s="6" t="s">
        <v>48</v>
      </c>
      <c r="C23" s="2"/>
    </row>
    <row r="24" spans="1:3" ht="15" customHeight="1" x14ac:dyDescent="0.15">
      <c r="A24" s="7">
        <v>0</v>
      </c>
      <c r="B24" s="6" t="s">
        <v>49</v>
      </c>
      <c r="C24" s="2"/>
    </row>
    <row r="25" spans="1:3" ht="15" customHeight="1" x14ac:dyDescent="0.15">
      <c r="A25" s="7">
        <v>10263.040000000001</v>
      </c>
      <c r="B25" s="6" t="s">
        <v>50</v>
      </c>
      <c r="C25" s="2"/>
    </row>
    <row r="26" spans="1:3" ht="15" customHeight="1" x14ac:dyDescent="0.15">
      <c r="A26" s="7">
        <v>7245.93</v>
      </c>
      <c r="B26" s="6" t="s">
        <v>51</v>
      </c>
      <c r="C26" s="2"/>
    </row>
    <row r="29" spans="1:3" ht="15" customHeight="1" x14ac:dyDescent="0.15">
      <c r="A29" s="5" t="s">
        <v>52</v>
      </c>
      <c r="B29" s="8">
        <f>SUM(成本明细表[成本明细])</f>
        <v>40512.810000000005</v>
      </c>
      <c r="C29" s="9"/>
    </row>
    <row r="30" spans="1:3" ht="15" customHeight="1" x14ac:dyDescent="0.15">
      <c r="A30" s="5" t="s">
        <v>53</v>
      </c>
      <c r="B30" s="8">
        <f>SUM(营业额明细表[营业额明细])</f>
        <v>24105.260000000002</v>
      </c>
      <c r="C30" s="10"/>
    </row>
    <row r="31" spans="1:3" ht="15" customHeight="1" x14ac:dyDescent="0.15">
      <c r="A31" s="5" t="s">
        <v>54</v>
      </c>
      <c r="C31" s="10"/>
    </row>
    <row r="32" spans="1:3" ht="15" customHeight="1" x14ac:dyDescent="0.15">
      <c r="A32" t="s">
        <v>55</v>
      </c>
    </row>
  </sheetData>
  <phoneticPr fontId="3" type="noConversion"/>
  <dataValidations count="2">
    <dataValidation type="list" allowBlank="1" showInputMessage="1" showErrorMessage="1" sqref="B2:B15" xr:uid="{00000000-0002-0000-0100-000000000000}">
      <formula1>"房租,其他,食材,推广,水电,工资"</formula1>
    </dataValidation>
    <dataValidation type="list" allowBlank="1" showInputMessage="1" showErrorMessage="1" sqref="B16:B19" xr:uid="{00000000-0002-0000-0100-000001000000}">
      <formula1>"房租,装修,其他,设备,食材,推广,水电"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2026-02-01T19:28:00Z</dcterms:created>
  <dcterms:modified xsi:type="dcterms:W3CDTF">2026-02-24T10:53:28Z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