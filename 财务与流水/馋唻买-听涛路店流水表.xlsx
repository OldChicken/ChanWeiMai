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Github localpath\ChanWeiMai\财务与流水\"/>
    </mc:Choice>
  </mc:AlternateContent>
  <xr:revisionPtr revIDLastSave="0" documentId="13_ncr:1_{A52E8387-AA9E-4ED6-BA3E-2CC232EE26AC}" xr6:coauthVersionLast="47" xr6:coauthVersionMax="47" xr10:uidLastSave="{00000000-0000-0000-0000-000000000000}"/>
  <bookViews>
    <workbookView xWindow="2130" yWindow="1215" windowWidth="35070" windowHeight="19335" tabRatio="723" firstSheet="1" activeTab="6" xr2:uid="{00000000-000D-0000-FFFF-FFFF00000000}"/>
  </bookViews>
  <sheets>
    <sheet name="开店成本清单" sheetId="1" r:id="rId1"/>
    <sheet name="2026-02流水" sheetId="2" r:id="rId2"/>
    <sheet name="2026-03流水" sheetId="3" r:id="rId3"/>
    <sheet name="2026-04流水" sheetId="4" r:id="rId4"/>
    <sheet name="2026-05流水" sheetId="5" r:id="rId5"/>
    <sheet name="2026-06流水" sheetId="6" r:id="rId6"/>
    <sheet name="2026-07流水" sheetId="7" r:id="rId7"/>
    <sheet name="2026-08流水" sheetId="8" r:id="rId8"/>
  </sheets>
  <calcPr calcId="191029"/>
</workbook>
</file>

<file path=xl/calcChain.xml><?xml version="1.0" encoding="utf-8"?>
<calcChain xmlns="http://schemas.openxmlformats.org/spreadsheetml/2006/main">
  <c r="B29" i="8" l="1"/>
  <c r="C29" i="8" s="1"/>
  <c r="B28" i="8"/>
  <c r="C28" i="8" s="1"/>
  <c r="B27" i="8"/>
  <c r="C27" i="8" s="1"/>
  <c r="B26" i="8"/>
  <c r="C26" i="8" s="1"/>
  <c r="B25" i="8"/>
  <c r="C25" i="8" s="1"/>
  <c r="B24" i="8"/>
  <c r="C24" i="8" s="1"/>
  <c r="C30" i="8" s="1"/>
  <c r="B18" i="8"/>
  <c r="C18" i="8" s="1"/>
  <c r="B17" i="8"/>
  <c r="C17" i="8" s="1"/>
  <c r="B16" i="8"/>
  <c r="C16" i="8" s="1"/>
  <c r="B15" i="8"/>
  <c r="C15" i="8" s="1"/>
  <c r="B14" i="8"/>
  <c r="C14" i="8" s="1"/>
  <c r="B13" i="8"/>
  <c r="C13" i="8" s="1"/>
  <c r="C19" i="8" s="1"/>
  <c r="B5" i="8"/>
  <c r="B7" i="8" s="1"/>
  <c r="B4" i="8"/>
  <c r="B3" i="8"/>
  <c r="B6" i="8" s="1"/>
  <c r="B8" i="8" s="1"/>
  <c r="B29" i="7"/>
  <c r="B28" i="7"/>
  <c r="B27" i="7"/>
  <c r="B26" i="7"/>
  <c r="B25" i="7"/>
  <c r="C25" i="7" s="1"/>
  <c r="B24" i="7"/>
  <c r="C24" i="7" s="1"/>
  <c r="B18" i="7"/>
  <c r="C18" i="7" s="1"/>
  <c r="B17" i="7"/>
  <c r="C17" i="7" s="1"/>
  <c r="B16" i="7"/>
  <c r="B15" i="7"/>
  <c r="B14" i="7"/>
  <c r="B13" i="7"/>
  <c r="B4" i="7"/>
  <c r="B3" i="7"/>
  <c r="B29" i="6"/>
  <c r="C29" i="6" s="1"/>
  <c r="B28" i="6"/>
  <c r="C28" i="6" s="1"/>
  <c r="B27" i="6"/>
  <c r="C27" i="6" s="1"/>
  <c r="B26" i="6"/>
  <c r="C26" i="6" s="1"/>
  <c r="B25" i="6"/>
  <c r="C25" i="6" s="1"/>
  <c r="B24" i="6"/>
  <c r="C24" i="6" s="1"/>
  <c r="C30" i="6" s="1"/>
  <c r="B18" i="6"/>
  <c r="C18" i="6" s="1"/>
  <c r="B17" i="6"/>
  <c r="C17" i="6" s="1"/>
  <c r="B16" i="6"/>
  <c r="C16" i="6" s="1"/>
  <c r="B15" i="6"/>
  <c r="C15" i="6" s="1"/>
  <c r="B14" i="6"/>
  <c r="C14" i="6" s="1"/>
  <c r="B13" i="6"/>
  <c r="C13" i="6" s="1"/>
  <c r="B4" i="6"/>
  <c r="B3" i="6"/>
  <c r="B6" i="6" s="1"/>
  <c r="B8" i="6" s="1"/>
  <c r="B29" i="5"/>
  <c r="C29" i="5" s="1"/>
  <c r="B28" i="5"/>
  <c r="C28" i="5" s="1"/>
  <c r="B27" i="5"/>
  <c r="C27" i="5" s="1"/>
  <c r="B26" i="5"/>
  <c r="C26" i="5" s="1"/>
  <c r="B25" i="5"/>
  <c r="C25" i="5" s="1"/>
  <c r="B24" i="5"/>
  <c r="C24" i="5" s="1"/>
  <c r="B18" i="5"/>
  <c r="C18" i="5" s="1"/>
  <c r="B17" i="5"/>
  <c r="C17" i="5" s="1"/>
  <c r="B16" i="5"/>
  <c r="C16" i="5" s="1"/>
  <c r="B15" i="5"/>
  <c r="C15" i="5" s="1"/>
  <c r="B14" i="5"/>
  <c r="C14" i="5" s="1"/>
  <c r="B13" i="5"/>
  <c r="C13" i="5" s="1"/>
  <c r="C19" i="5" s="1"/>
  <c r="B5" i="5"/>
  <c r="B7" i="5" s="1"/>
  <c r="B4" i="5"/>
  <c r="B3" i="5"/>
  <c r="B6" i="5" s="1"/>
  <c r="B8" i="5" s="1"/>
  <c r="B29" i="4"/>
  <c r="C29" i="4" s="1"/>
  <c r="B28" i="4"/>
  <c r="C28" i="4" s="1"/>
  <c r="B27" i="4"/>
  <c r="C27" i="4" s="1"/>
  <c r="B26" i="4"/>
  <c r="C26" i="4" s="1"/>
  <c r="B25" i="4"/>
  <c r="C25" i="4" s="1"/>
  <c r="B24" i="4"/>
  <c r="C24" i="4" s="1"/>
  <c r="B18" i="4"/>
  <c r="C18" i="4" s="1"/>
  <c r="B17" i="4"/>
  <c r="C17" i="4" s="1"/>
  <c r="B16" i="4"/>
  <c r="C16" i="4" s="1"/>
  <c r="B15" i="4"/>
  <c r="C15" i="4" s="1"/>
  <c r="B14" i="4"/>
  <c r="C14" i="4" s="1"/>
  <c r="B13" i="4"/>
  <c r="C13" i="4" s="1"/>
  <c r="C19" i="4" s="1"/>
  <c r="B4" i="4"/>
  <c r="B3" i="4"/>
  <c r="B6" i="4" s="1"/>
  <c r="B8" i="4" s="1"/>
  <c r="B28" i="3"/>
  <c r="C28" i="3" s="1"/>
  <c r="B27" i="3"/>
  <c r="C27" i="3" s="1"/>
  <c r="B26" i="3"/>
  <c r="C26" i="3" s="1"/>
  <c r="B25" i="3"/>
  <c r="C25" i="3" s="1"/>
  <c r="B24" i="3"/>
  <c r="C24" i="3" s="1"/>
  <c r="B23" i="3"/>
  <c r="C23" i="3" s="1"/>
  <c r="C29" i="3" s="1"/>
  <c r="B17" i="3"/>
  <c r="C17" i="3" s="1"/>
  <c r="B16" i="3"/>
  <c r="C16" i="3" s="1"/>
  <c r="B15" i="3"/>
  <c r="C15" i="3" s="1"/>
  <c r="B14" i="3"/>
  <c r="C14" i="3" s="1"/>
  <c r="B13" i="3"/>
  <c r="C13" i="3" s="1"/>
  <c r="C18" i="3" s="1"/>
  <c r="B5" i="3"/>
  <c r="B7" i="3" s="1"/>
  <c r="B4" i="3"/>
  <c r="B3" i="3"/>
  <c r="B6" i="3" s="1"/>
  <c r="B8" i="3" s="1"/>
  <c r="B29" i="2"/>
  <c r="B28" i="2"/>
  <c r="C28" i="2" s="1"/>
  <c r="B27" i="2"/>
  <c r="C27" i="2" s="1"/>
  <c r="B26" i="2"/>
  <c r="C26" i="2" s="1"/>
  <c r="B25" i="2"/>
  <c r="C25" i="2" s="1"/>
  <c r="B24" i="2"/>
  <c r="C24" i="2" s="1"/>
  <c r="B23" i="2"/>
  <c r="C23" i="2" s="1"/>
  <c r="C29" i="2" s="1"/>
  <c r="B18" i="2"/>
  <c r="B17" i="2"/>
  <c r="C17" i="2" s="1"/>
  <c r="B16" i="2"/>
  <c r="C16" i="2" s="1"/>
  <c r="B15" i="2"/>
  <c r="C15" i="2" s="1"/>
  <c r="B14" i="2"/>
  <c r="C14" i="2" s="1"/>
  <c r="B13" i="2"/>
  <c r="C13" i="2" s="1"/>
  <c r="B4" i="2"/>
  <c r="B3" i="2"/>
  <c r="B6" i="2" s="1"/>
  <c r="B8" i="2" s="1"/>
  <c r="B2" i="1"/>
  <c r="B3" i="1" s="1"/>
  <c r="C29" i="7" l="1"/>
  <c r="C16" i="7"/>
  <c r="C26" i="7"/>
  <c r="C27" i="7"/>
  <c r="C28" i="7"/>
  <c r="C13" i="7"/>
  <c r="C14" i="7"/>
  <c r="C15" i="7"/>
  <c r="B6" i="7"/>
  <c r="B8" i="7" s="1"/>
  <c r="C19" i="6"/>
  <c r="C18" i="2"/>
  <c r="C30" i="4"/>
  <c r="C30" i="5"/>
  <c r="B5" i="4"/>
  <c r="B7" i="4" s="1"/>
  <c r="B19" i="6"/>
  <c r="B30" i="7"/>
  <c r="B19" i="5"/>
  <c r="B30" i="6"/>
  <c r="B19" i="4"/>
  <c r="B30" i="5"/>
  <c r="B30" i="4"/>
  <c r="B5" i="7"/>
  <c r="B7" i="7" s="1"/>
  <c r="B5" i="6"/>
  <c r="B7" i="6" s="1"/>
  <c r="B18" i="3"/>
  <c r="B5" i="2"/>
  <c r="B7" i="2" s="1"/>
  <c r="B29" i="3"/>
  <c r="B19" i="8"/>
  <c r="B30" i="8"/>
  <c r="B19" i="7"/>
  <c r="C30" i="7" l="1"/>
  <c r="C19" i="7"/>
</calcChain>
</file>

<file path=xl/sharedStrings.xml><?xml version="1.0" encoding="utf-8"?>
<sst xmlns="http://schemas.openxmlformats.org/spreadsheetml/2006/main" count="837" uniqueCount="206">
  <si>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</si>
  <si>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</si>
  <si>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</si>
  <si>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</si>
  <si>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</si>
  <si>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</si>
  <si>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</si>
  <si>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</si>
  <si>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</si>
  <si>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</si>
  <si>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</si>
  <si>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</si>
  <si>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</si>
  <si>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</si>
  <si>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</si>
  <si>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</si>
  <si>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</si>
  <si>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</si>
  <si>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</si>
  <si>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</si>
  <si>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</si>
  <si>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</si>
  <si>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</si>
  <si>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</si>
  <si>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</si>
  <si>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</si>
  <si>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</si>
  <si>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</si>
  <si>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</si>
  <si>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</si>
  <si>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</si>
  <si>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</si>
  <si>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</si>
  <si>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</si>
  <si>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</si>
  <si>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</si>
  <si>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</si>
  <si>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</si>
  <si>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</si>
  <si>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</si>
  <si>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</si>
  <si>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</si>
  <si>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</si>
  <si>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小米空调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</si>
  <si>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</si>
  <si>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</si>
  <si>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</si>
  <si>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</si>
  <si>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</si>
  <si>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</si>
  <si>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</si>
  <si>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</si>
  <si>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</si>
  <si>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</si>
  <si>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</si>
  <si>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</si>
  <si>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</si>
  <si>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</si>
  <si>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</si>
  <si>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</si>
  <si>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</si>
  <si>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</si>
  <si>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</si>
  <si>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</si>
  <si>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</si>
  <si>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</si>
  <si>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</si>
  <si>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</si>
  <si>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</si>
  <si>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收入明细</t>
  </si>
  <si>
    <t>本月未上线</t>
  </si>
  <si>
    <t>支出明细</t>
  </si>
  <si>
    <t>月租金</t>
  </si>
  <si>
    <t>员工工资</t>
  </si>
  <si>
    <t>一月水电</t>
  </si>
  <si>
    <t>二月水电</t>
  </si>
  <si>
    <t>老池自购食材</t>
  </si>
  <si>
    <t>商业收款码</t>
  </si>
  <si>
    <t>个人收款码</t>
  </si>
  <si>
    <t>三月工资</t>
  </si>
  <si>
    <t>三月水电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</si>
  <si>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</si>
  <si>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</si>
  <si>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</si>
  <si>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</si>
  <si>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</si>
  <si>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</si>
  <si>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</si>
  <si>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</si>
  <si>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</si>
  <si>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</si>
  <si>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</si>
  <si>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</si>
  <si>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</si>
  <si>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</si>
  <si>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</si>
  <si>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</si>
  <si>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</si>
  <si>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</si>
  <si>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</si>
  <si>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</si>
  <si>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</si>
  <si>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</si>
  <si>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</si>
  <si>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</si>
  <si>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</si>
  <si>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</si>
  <si>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</si>
  <si>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</si>
  <si>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</si>
  <si>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</si>
  <si>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</si>
  <si>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</si>
  <si>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</si>
  <si>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</si>
  <si>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</si>
  <si>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</si>
  <si>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</si>
  <si>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</si>
  <si>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</si>
  <si>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</si>
  <si>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</si>
  <si>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</si>
  <si>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</si>
  <si>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</si>
  <si>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</si>
  <si>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</si>
  <si>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</si>
  <si>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</si>
  <si>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</si>
  <si>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</si>
  <si>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</si>
  <si>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</si>
  <si>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</si>
  <si>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出餐宝返押金</t>
  </si>
  <si>
    <t>抖音来客</t>
  </si>
  <si>
    <t>商业码</t>
  </si>
  <si>
    <t>经营码</t>
  </si>
  <si>
    <t>硕美进货，肉片500斤4000，小笼包50斤550，肉燕50斤900，牛肉羹50斤850，调味料60，运费195，2555货品算到3月用</t>
  </si>
  <si>
    <t>调味品：味素+味精</t>
  </si>
  <si>
    <t>快驴支出</t>
  </si>
  <si>
    <t>封口膜</t>
  </si>
  <si>
    <t>烧卖样品</t>
  </si>
  <si>
    <t>烧卖进货</t>
  </si>
  <si>
    <t>电话费</t>
  </si>
  <si>
    <t>风扇+鱼丸+潮汕肉丸</t>
  </si>
  <si>
    <t>硕美进货，肉片500斤4000，肉燕100斤1800，牛肉羹100斤1700，鸡翅300，鸭爪52，运费240</t>
  </si>
  <si>
    <t>1000打包盒1000个，750打包盒1200个，450打包盒1200个，餐具若干</t>
  </si>
  <si>
    <t>菜单设计</t>
  </si>
  <si>
    <t>遮阳篷+老池其他垫付开支</t>
  </si>
  <si>
    <t>弹粉进货，15/斤，运费50</t>
  </si>
  <si>
    <t>燕面进货，18/斤，运费21</t>
  </si>
  <si>
    <t>淘宝刷了一单</t>
  </si>
  <si>
    <t>牛肉丸+鱼丸进货</t>
  </si>
  <si>
    <t>菜单灯布打印</t>
  </si>
  <si>
    <t>珍享烤肠50根</t>
  </si>
  <si>
    <t>包装盒进货</t>
  </si>
  <si>
    <t>肉片等进货</t>
  </si>
  <si>
    <t>鱼丸牛肉丸进货</t>
  </si>
  <si>
    <t>和面机</t>
  </si>
  <si>
    <t>暂未支付</t>
  </si>
  <si>
    <t>快驴首充</t>
  </si>
  <si>
    <t>白琳肉筋</t>
  </si>
  <si>
    <t>宽带费</t>
  </si>
  <si>
    <t>调味粉</t>
  </si>
  <si>
    <t>硕美进货</t>
  </si>
  <si>
    <t>老池垫付食材</t>
  </si>
  <si>
    <t>三个平台推广</t>
  </si>
  <si>
    <t>打包盒</t>
  </si>
  <si>
    <t>商标注册</t>
  </si>
  <si>
    <t>潮汕牛肉丸</t>
  </si>
  <si>
    <t>淘宝额外充值推广</t>
  </si>
  <si>
    <t>肉片进货</t>
  </si>
  <si>
    <t>刷单</t>
  </si>
  <si>
    <t>盐50包</t>
  </si>
  <si>
    <t>酸菜3罐</t>
  </si>
  <si>
    <t>火鸡面5箱</t>
  </si>
  <si>
    <t>餐具</t>
  </si>
  <si>
    <t>打包盒(1000圆5箱，厂家涨价)</t>
  </si>
  <si>
    <t>肉片</t>
  </si>
  <si>
    <t>烧卖pdd进货</t>
  </si>
  <si>
    <t>美团推广充值</t>
  </si>
  <si>
    <t>鱼丸</t>
  </si>
  <si>
    <t>燕面</t>
  </si>
  <si>
    <t>肉筋刷了到店4单</t>
  </si>
  <si>
    <t>糯米烧麦</t>
  </si>
  <si>
    <t>葱/香菜</t>
  </si>
  <si>
    <t>肉筋刷单</t>
  </si>
  <si>
    <t>肉筋进货50斤</t>
  </si>
  <si>
    <t>笑脸袋</t>
  </si>
  <si>
    <t>潮汕牛筋丸5斤</t>
  </si>
  <si>
    <t>猪油+香菜</t>
  </si>
  <si>
    <t>烧麦进货</t>
  </si>
  <si>
    <t>肉片运费</t>
  </si>
  <si>
    <t>调味品</t>
  </si>
  <si>
    <t>面条烧卖</t>
  </si>
  <si>
    <t>老池垫付部分</t>
  </si>
  <si>
    <t>肉片第一次进货</t>
  </si>
  <si>
    <t>潮汕牛肉丸10包</t>
  </si>
  <si>
    <t>烧麦4袋</t>
  </si>
  <si>
    <t>表哥借款</t>
  </si>
  <si>
    <t>火鸡面10箱</t>
    <phoneticPr fontId="7" type="noConversion"/>
  </si>
  <si>
    <t>牛肉丸10包</t>
    <phoneticPr fontId="7" type="noConversion"/>
  </si>
  <si>
    <t>烧卖</t>
    <phoneticPr fontId="7" type="noConversion"/>
  </si>
  <si>
    <t>火鸡面1箱</t>
    <phoneticPr fontId="7" type="noConversion"/>
  </si>
  <si>
    <t>小郭不做了补货，货有问题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</si>
</sst>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,##0.00_ "/>
    <numFmt numFmtId="177" formatCode="0.00_);[Red]\(0.00\)"/>
    <numFmt numFmtId="179" formatCode="0.00_ ;[Red]\-0.00\ "/>
  </numFmts>
  <fonts count="8" x14ac:knownFonts="1">
    <font>
      <sz val="11"/>
      <color theme="1"/>
      <name val="宋体"/>
      <charset val="134"/>
      <scheme val="minor"/>
    </font>
    <font>
      <sz val="14"/>
      <color theme="1"/>
      <name val="微软雅黑"/>
      <charset val="134"/>
    </font>
    <font>
      <b/>
      <sz val="14"/>
      <color rgb="FFFFFFFF"/>
      <name val="微软雅黑"/>
      <charset val="134"/>
    </font>
    <font>
      <sz val="14"/>
      <color rgb="FFFFFFFF"/>
      <name val="微软雅黑"/>
      <charset val="134"/>
    </font>
    <font>
      <sz val="14"/>
      <color rgb="FF000000"/>
      <name val="微软雅黑"/>
      <charset val="134"/>
    </font>
    <font>
      <b/>
      <sz val="14"/>
      <color theme="1"/>
      <name val="微软雅黑"/>
      <charset val="134"/>
    </font>
    <font>
      <sz val="14"/>
      <color theme="1"/>
      <name val="微软雅黑"/>
      <family val="2"/>
      <charset val="134"/>
    </font>
    <font>
      <sz val="9"/>
      <name val="宋体"/>
      <family val="3"/>
      <charset val="134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87">
    <xf numFmtId="0" fontId="0" fillId="0" borderId="0" xfId="0"/>
    <xf numFmtId="179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  <xf numFmtId="2" fontId="4" fillId="5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10" fontId="2" fillId="7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2" fillId="9" borderId="1" xfId="0" applyFont="1" applyFill="1" applyBorder="1" applyAlignment="1">
      <alignment horizontal="left" vertical="center" wrapText="1"/>
    </xf>
    <xf numFmtId="2" fontId="2" fillId="9" borderId="1" xfId="0" applyNumberFormat="1" applyFont="1" applyFill="1" applyBorder="1" applyAlignment="1">
      <alignment horizontal="center" vertical="center" wrapText="1"/>
    </xf>
    <xf numFmtId="10" fontId="2" fillId="9" borderId="1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4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horizontal="left" vertical="center" wrapText="1"/>
    </xf>
    <xf numFmtId="177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horizontal="right" vertical="center" wrapText="1"/>
    </xf>
    <xf numFmtId="4" fontId="1" fillId="0" borderId="0" xfId="0" applyNumberFormat="1" applyFont="1" applyAlignment="1">
      <alignment horizontal="right" vertical="center" wrapText="1"/>
    </xf>
    <xf numFmtId="179" fontId="1" fillId="0" borderId="0" xfId="0" applyNumberFormat="1" applyFont="1" applyAlignment="1">
      <alignment vertical="center" wrapText="1"/>
    </xf>
    <xf numFmtId="179" fontId="1" fillId="0" borderId="0" xfId="0" applyNumberFormat="1" applyFont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3" fontId="1" fillId="0" borderId="0" xfId="0" applyNumberFormat="1" applyFont="1" applyAlignment="1">
      <alignment horizontal="left" vertical="center" wrapText="1"/>
    </xf>
    <xf numFmtId="177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3" fillId="3" borderId="5" xfId="0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2" fontId="4" fillId="10" borderId="1" xfId="0" applyNumberFormat="1" applyFont="1" applyFill="1" applyBorder="1" applyAlignment="1">
      <alignment horizontal="center" vertical="center"/>
    </xf>
    <xf numFmtId="10" fontId="4" fillId="10" borderId="1" xfId="0" applyNumberFormat="1" applyFont="1" applyFill="1" applyBorder="1" applyAlignment="1">
      <alignment horizontal="center" vertical="center"/>
    </xf>
    <xf numFmtId="0" fontId="3" fillId="7" borderId="5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2" fontId="4" fillId="11" borderId="1" xfId="0" applyNumberFormat="1" applyFont="1" applyFill="1" applyBorder="1" applyAlignment="1">
      <alignment horizontal="center" vertical="center"/>
    </xf>
    <xf numFmtId="10" fontId="4" fillId="11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3" fillId="9" borderId="5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left" vertical="center"/>
    </xf>
    <xf numFmtId="177" fontId="1" fillId="0" borderId="0" xfId="0" applyNumberFormat="1" applyFont="1" applyAlignment="1">
      <alignment horizontal="center" vertical="center"/>
    </xf>
    <xf numFmtId="3" fontId="5" fillId="0" borderId="0" xfId="0" applyNumberFormat="1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4" fontId="5" fillId="0" borderId="0" xfId="0" applyNumberFormat="1" applyFont="1" applyAlignment="1">
      <alignment horizontal="left" vertical="center" wrapText="1"/>
    </xf>
    <xf numFmtId="1" fontId="5" fillId="0" borderId="0" xfId="0" applyNumberFormat="1" applyFont="1" applyAlignment="1">
      <alignment horizontal="left" vertical="center" wrapText="1"/>
    </xf>
    <xf numFmtId="177" fontId="5" fillId="0" borderId="0" xfId="0" applyNumberFormat="1" applyFont="1" applyAlignment="1">
      <alignment horizontal="left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0" fontId="2" fillId="6" borderId="4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8" borderId="4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2" fillId="8" borderId="0" xfId="0" applyFont="1" applyFill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2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left" vertical="center" wrapText="1"/>
    </xf>
    <xf numFmtId="0" fontId="2" fillId="8" borderId="0" xfId="0" applyFont="1" applyFill="1" applyAlignment="1">
      <alignment horizontal="left" vertical="center" wrapText="1"/>
    </xf>
    <xf numFmtId="0" fontId="3" fillId="9" borderId="1" xfId="0" applyFont="1" applyFill="1" applyBorder="1" applyAlignment="1">
      <alignment horizontal="left" vertical="center" wrapText="1"/>
    </xf>
    <xf numFmtId="0" fontId="6" fillId="0" borderId="0" xfId="0" applyFont="1" applyAlignment="1">
      <alignment vertical="center" wrapText="1"/>
    </xf>
  </cellXfs>
  <cellStyles count="1">
    <cellStyle name="常规" xfId="0" builtinId="0"/>
  </cellStyles>
  <dxfs count="5">
    <dxf>
      <alignment horizontal="left"/>
    </dxf>
    <dxf>
      <alignment horizontal="left"/>
    </dxf>
    <dxf>
      <font>
        <strike val="0"/>
        <sz val="11"/>
        <color theme="1"/>
        <name val="宋体"/>
        <charset val="134"/>
        <scheme val="none"/>
      </font>
    </dxf>
    <dxf>
      <font>
        <strike val="0"/>
        <sz val="11"/>
        <color theme="1"/>
        <name val="宋体"/>
        <charset val="134"/>
        <scheme val="none"/>
      </font>
    </dxf>
    <dxf>
      <font>
        <strike val="0"/>
        <sz val="11"/>
        <color theme="1"/>
        <name val="宋体"/>
        <charset val="134"/>
        <scheme val="none"/>
      </font>
      <numFmt numFmtId="177" formatCode="0.00_);[Red]\(0.00\)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成本明细" displayName="成本明细" ref="A6:C45" totalsRowShown="0">
  <autoFilter ref="A6:C45" xr:uid="{00000000-0009-0000-0100-000001000000}"/>
  <tableColumns count="3">
    <tableColumn id="1" xr3:uid="{00000000-0010-0000-0000-000001000000}" name="金额(元)" dataDxfId="4"/>
    <tableColumn id="2" xr3:uid="{00000000-0010-0000-0000-000002000000}" name="分类" dataDxfId="3"/>
    <tableColumn id="3" xr3:uid="{00000000-0010-0000-0000-000003000000}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收入明细2602" displayName="收入明细2602" ref="A32:C37" totalsRowShown="0">
  <autoFilter ref="A32:C37" xr:uid="{00000000-0009-0000-0100-000002000000}"/>
  <tableColumns count="3">
    <tableColumn id="1" xr3:uid="{00000000-0010-0000-0100-000001000000}" name="收入明细"/>
    <tableColumn id="2" xr3:uid="{00000000-0010-0000-0100-000002000000}" name="分类"/>
    <tableColumn id="3" xr3:uid="{00000000-0010-0000-0100-000003000000}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支出明细2602" displayName="支出明细2602" ref="A40:C60" totalsRowShown="0">
  <autoFilter ref="A40:C60" xr:uid="{00000000-0009-0000-0100-000003000000}"/>
  <tableColumns count="3">
    <tableColumn id="1" xr3:uid="{00000000-0010-0000-0200-000001000000}" name="支出明细"/>
    <tableColumn id="2" xr3:uid="{00000000-0010-0000-0200-000002000000}" name="分类"/>
    <tableColumn id="3" xr3:uid="{00000000-0010-0000-0200-000003000000}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支出明细2603" displayName="支出明细2603" ref="A41:C106">
  <autoFilter ref="A41:C106" xr:uid="{00000000-0009-0000-0100-000004000000}"/>
  <tableColumns count="3">
    <tableColumn id="1" xr3:uid="{00000000-0010-0000-0300-000001000000}" name="支出明细"/>
    <tableColumn id="2" xr3:uid="{00000000-0010-0000-0300-000002000000}" name="分类"/>
    <tableColumn id="3" xr3:uid="{00000000-0010-0000-0300-000003000000}" name="说明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收入明细2603" displayName="收入明细2603" ref="A32:C38">
  <autoFilter ref="A32:C38" xr:uid="{00000000-0009-0000-0100-000005000000}"/>
  <tableColumns count="3">
    <tableColumn id="1" xr3:uid="{00000000-0010-0000-0400-000001000000}" name="收入明细"/>
    <tableColumn id="2" xr3:uid="{00000000-0010-0000-0400-000002000000}" name="分类"/>
    <tableColumn id="3" xr3:uid="{00000000-0010-0000-0400-000003000000}" name="说明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支出明细2604" displayName="支出明细2604" ref="A43:C70">
  <autoFilter ref="A43:C70" xr:uid="{00000000-0009-0000-0100-000006000000}"/>
  <tableColumns count="3">
    <tableColumn id="1" xr3:uid="{00000000-0010-0000-0500-000001000000}" name="支出明细" dataDxfId="1"/>
    <tableColumn id="2" xr3:uid="{00000000-0010-0000-0500-000002000000}" name="分类"/>
    <tableColumn id="3" xr3:uid="{00000000-0010-0000-0500-000003000000}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收入明细2604" displayName="收入明细2604" ref="A33:C40">
  <autoFilter ref="A33:C40" xr:uid="{00000000-0009-0000-0100-000007000000}"/>
  <tableColumns count="3">
    <tableColumn id="1" xr3:uid="{00000000-0010-0000-0600-000001000000}" name="收入明细"/>
    <tableColumn id="2" xr3:uid="{00000000-0010-0000-0600-000002000000}" name="分类"/>
    <tableColumn id="3" xr3:uid="{00000000-0010-0000-0600-000003000000}" name="说明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支出明细26049" displayName="支出明细26049" ref="A43:C70">
  <autoFilter ref="A43:C70" xr:uid="{00000000-0009-0000-0100-000008000000}"/>
  <tableColumns count="3">
    <tableColumn id="1" xr3:uid="{00000000-0010-0000-0700-000001000000}" name="支出明细" dataDxfId="0"/>
    <tableColumn id="2" xr3:uid="{00000000-0010-0000-0700-000002000000}" name="分类"/>
    <tableColumn id="3" xr3:uid="{00000000-0010-0000-0700-000003000000}" name="说明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收入明细260410" displayName="收入明细260410" ref="A33:C40">
  <autoFilter ref="A33:C40" xr:uid="{00000000-0009-0000-0100-000009000000}"/>
  <tableColumns count="3">
    <tableColumn id="1" xr3:uid="{00000000-0010-0000-0800-000001000000}" name="收入明细"/>
    <tableColumn id="2" xr3:uid="{00000000-0010-0000-0800-000002000000}" name="分类"/>
    <tableColumn id="3" xr3:uid="{00000000-0010-0000-0800-000003000000}" name="说明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支出明细26049_11" displayName="支出明细26049_11" ref="A43:C76">
  <autoFilter ref="A43:C76" xr:uid="{00000000-0009-0000-0100-00000A000000}">
    <filterColumn colId="1">
      <filters>
        <filter val="食材"/>
      </filters>
    </filterColumn>
  </autoFilter>
  <tableColumns count="3">
    <tableColumn id="1" xr3:uid="{00000000-0010-0000-0900-000001000000}" name="支出明细"/>
    <tableColumn id="2" xr3:uid="{00000000-0010-0000-0900-000002000000}" name="分类"/>
    <tableColumn id="3" xr3:uid="{00000000-0010-0000-0900-000003000000}" name="说明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收入明细260410_12" displayName="收入明细260410_12" ref="A33:C40">
  <autoFilter ref="A33:C40" xr:uid="{00000000-0009-0000-0100-00000B000000}"/>
  <tableColumns count="3">
    <tableColumn id="1" xr3:uid="{00000000-0010-0000-0A00-000001000000}" name="收入明细"/>
    <tableColumn id="2" xr3:uid="{00000000-0010-0000-0A00-000002000000}" name="分类"/>
    <tableColumn id="3" xr3:uid="{00000000-0010-0000-0A00-000003000000}" name="说明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0B000000}" name="支出明细26049_1119" displayName="支出明细26049_1119" ref="A43:C66">
  <autoFilter ref="A43:C66" xr:uid="{00000000-0009-0000-0100-000012000000}"/>
  <tableColumns count="3">
    <tableColumn id="1" xr3:uid="{00000000-0010-0000-0B00-000001000000}" name="支出明细"/>
    <tableColumn id="2" xr3:uid="{00000000-0010-0000-0B00-000002000000}" name="分类"/>
    <tableColumn id="3" xr3:uid="{00000000-0010-0000-0B00-000003000000}" name="说明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0C000000}" name="收入明细260410_1220" displayName="收入明细260410_1220" ref="A33:C40">
  <autoFilter ref="A33:C40" xr:uid="{00000000-0009-0000-0100-000013000000}"/>
  <tableColumns count="3">
    <tableColumn id="1" xr3:uid="{00000000-0010-0000-0C00-000001000000}" name="收入明细"/>
    <tableColumn id="2" xr3:uid="{00000000-0010-0000-0C00-000002000000}" name="分类"/>
    <tableColumn id="3" xr3:uid="{00000000-0010-0000-0C00-000003000000}" name="说明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D000000}" name="收入明细260410_122013" displayName="收入明细260410_122013" ref="A33:C40">
  <autoFilter ref="A33:C40" xr:uid="{00000000-0009-0000-0100-00000C000000}"/>
  <tableColumns count="3">
    <tableColumn id="1" xr3:uid="{00000000-0010-0000-0D00-000001000000}" name="收入明细"/>
    <tableColumn id="2" xr3:uid="{00000000-0010-0000-0D00-000002000000}" name="分类"/>
    <tableColumn id="3" xr3:uid="{00000000-0010-0000-0D00-000003000000}" name="说明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E000000}" name="支出明细26049_111914" displayName="支出明细26049_111914" ref="A43:C48">
  <autoFilter ref="A43:C48" xr:uid="{00000000-0009-0000-0100-00000D000000}"/>
  <tableColumns count="3">
    <tableColumn id="1" xr3:uid="{00000000-0010-0000-0E00-000001000000}" name="支出明细"/>
    <tableColumn id="2" xr3:uid="{00000000-0010-0000-0E00-000002000000}" name="分类"/>
    <tableColumn id="3" xr3:uid="{00000000-0010-0000-0E00-000003000000}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C45"/>
  <sheetViews>
    <sheetView workbookViewId="0">
      <selection activeCell="B2" sqref="B2"/>
    </sheetView>
  </sheetViews>
  <sheetFormatPr defaultColWidth="30.625" defaultRowHeight="25.15" customHeight="1" x14ac:dyDescent="0.15"/>
  <cols>
    <col min="1" max="1" width="30.625" style="64" customWidth="1"/>
    <col min="2" max="2" width="30.625" style="65" customWidth="1"/>
    <col min="3" max="3" width="30.625" style="66" customWidth="1"/>
    <col min="4" max="4" width="30.625" style="65" customWidth="1"/>
    <col min="5" max="16384" width="30.625" style="65"/>
  </cols>
  <sheetData>
    <row r="1" spans="1:3" ht="25.15" customHeight="1" x14ac:dyDescent="0.15">
      <c r="A1" s="64" t="s">
        <v>0</v>
      </c>
      <c r="B1" s="67">
        <v>100000</v>
      </c>
      <c r="C1" s="65"/>
    </row>
    <row r="2" spans="1:3" ht="25.15" customHeight="1" x14ac:dyDescent="0.15">
      <c r="A2" s="64" t="s">
        <v>1</v>
      </c>
      <c r="B2" s="66">
        <f>SUM(成本明细[金额(元)])</f>
        <v>101248.03000000001</v>
      </c>
      <c r="C2" s="65"/>
    </row>
    <row r="3" spans="1:3" ht="25.15" customHeight="1" x14ac:dyDescent="0.15">
      <c r="A3" s="64" t="s">
        <v>2</v>
      </c>
      <c r="B3" s="66">
        <f>B1-B2</f>
        <v>-1248.0300000000134</v>
      </c>
      <c r="C3" s="65"/>
    </row>
    <row r="6" spans="1:3" ht="25.15" customHeight="1" x14ac:dyDescent="0.15">
      <c r="A6" s="64" t="s">
        <v>3</v>
      </c>
      <c r="B6" s="65" t="s">
        <v>4</v>
      </c>
      <c r="C6" s="66" t="s">
        <v>5</v>
      </c>
    </row>
    <row r="7" spans="1:3" ht="25.15" customHeight="1" x14ac:dyDescent="0.15">
      <c r="A7" s="68">
        <v>10000</v>
      </c>
      <c r="B7" s="65" t="s">
        <v>6</v>
      </c>
      <c r="C7" s="66" t="s">
        <v>7</v>
      </c>
    </row>
    <row r="8" spans="1:3" ht="25.15" customHeight="1" x14ac:dyDescent="0.15">
      <c r="A8" s="68">
        <v>26000</v>
      </c>
      <c r="B8" s="65" t="s">
        <v>6</v>
      </c>
      <c r="C8" s="66" t="s">
        <v>8</v>
      </c>
    </row>
    <row r="9" spans="1:3" ht="25.15" customHeight="1" x14ac:dyDescent="0.15">
      <c r="A9" s="68">
        <v>6000</v>
      </c>
      <c r="B9" s="65" t="s">
        <v>9</v>
      </c>
      <c r="C9" s="66" t="s">
        <v>10</v>
      </c>
    </row>
    <row r="10" spans="1:3" ht="25.15" customHeight="1" x14ac:dyDescent="0.15">
      <c r="A10" s="68">
        <v>3000</v>
      </c>
      <c r="B10" s="65" t="s">
        <v>9</v>
      </c>
      <c r="C10" s="66" t="s">
        <v>11</v>
      </c>
    </row>
    <row r="11" spans="1:3" ht="25.15" customHeight="1" x14ac:dyDescent="0.15">
      <c r="A11" s="68">
        <v>2100</v>
      </c>
      <c r="B11" s="65" t="s">
        <v>9</v>
      </c>
      <c r="C11" s="66" t="s">
        <v>12</v>
      </c>
    </row>
    <row r="12" spans="1:3" ht="25.15" customHeight="1" x14ac:dyDescent="0.15">
      <c r="A12" s="68">
        <v>340</v>
      </c>
      <c r="B12" s="65" t="s">
        <v>9</v>
      </c>
      <c r="C12" s="66" t="s">
        <v>13</v>
      </c>
    </row>
    <row r="13" spans="1:3" ht="25.15" customHeight="1" x14ac:dyDescent="0.15">
      <c r="A13" s="68">
        <v>200</v>
      </c>
      <c r="B13" s="65" t="s">
        <v>14</v>
      </c>
      <c r="C13" s="66" t="s">
        <v>15</v>
      </c>
    </row>
    <row r="14" spans="1:3" ht="25.15" customHeight="1" x14ac:dyDescent="0.15">
      <c r="A14" s="68">
        <v>11000</v>
      </c>
      <c r="B14" s="65" t="s">
        <v>16</v>
      </c>
      <c r="C14" s="66" t="s">
        <v>17</v>
      </c>
    </row>
    <row r="15" spans="1:3" ht="25.15" customHeight="1" x14ac:dyDescent="0.15">
      <c r="A15" s="68">
        <v>5000</v>
      </c>
      <c r="B15" s="65" t="s">
        <v>9</v>
      </c>
      <c r="C15" s="66" t="s">
        <v>18</v>
      </c>
    </row>
    <row r="16" spans="1:3" ht="25.15" customHeight="1" x14ac:dyDescent="0.15">
      <c r="A16" s="68">
        <v>755</v>
      </c>
      <c r="B16" s="65" t="s">
        <v>16</v>
      </c>
      <c r="C16" s="66" t="s">
        <v>19</v>
      </c>
    </row>
    <row r="17" spans="1:3" ht="25.15" customHeight="1" x14ac:dyDescent="0.15">
      <c r="A17" s="68">
        <v>190</v>
      </c>
      <c r="B17" s="65" t="s">
        <v>9</v>
      </c>
      <c r="C17" s="66" t="s">
        <v>20</v>
      </c>
    </row>
    <row r="18" spans="1:3" ht="25.15" customHeight="1" x14ac:dyDescent="0.15">
      <c r="A18" s="68">
        <v>405.9</v>
      </c>
      <c r="B18" s="65" t="s">
        <v>16</v>
      </c>
      <c r="C18" s="66" t="s">
        <v>21</v>
      </c>
    </row>
    <row r="19" spans="1:3" ht="25.15" customHeight="1" x14ac:dyDescent="0.15">
      <c r="A19" s="68">
        <v>228</v>
      </c>
      <c r="B19" s="65" t="s">
        <v>16</v>
      </c>
      <c r="C19" s="66" t="s">
        <v>22</v>
      </c>
    </row>
    <row r="20" spans="1:3" ht="25.15" customHeight="1" x14ac:dyDescent="0.15">
      <c r="A20" s="68">
        <v>639.5</v>
      </c>
      <c r="B20" s="65" t="s">
        <v>16</v>
      </c>
      <c r="C20" s="66" t="s">
        <v>23</v>
      </c>
    </row>
    <row r="21" spans="1:3" ht="25.15" customHeight="1" x14ac:dyDescent="0.15">
      <c r="A21" s="68">
        <v>1259.0999999999999</v>
      </c>
      <c r="B21" s="65" t="s">
        <v>16</v>
      </c>
      <c r="C21" s="66" t="s">
        <v>24</v>
      </c>
    </row>
    <row r="22" spans="1:3" ht="25.15" customHeight="1" x14ac:dyDescent="0.15">
      <c r="A22" s="68">
        <v>1000</v>
      </c>
      <c r="B22" s="65" t="s">
        <v>25</v>
      </c>
      <c r="C22" s="66" t="s">
        <v>26</v>
      </c>
    </row>
    <row r="23" spans="1:3" ht="25.15" customHeight="1" x14ac:dyDescent="0.15">
      <c r="A23" s="68">
        <v>13260</v>
      </c>
      <c r="B23" s="65" t="s">
        <v>25</v>
      </c>
      <c r="C23" s="66" t="s">
        <v>27</v>
      </c>
    </row>
    <row r="24" spans="1:3" ht="25.15" customHeight="1" x14ac:dyDescent="0.15">
      <c r="A24" s="68">
        <v>47.97</v>
      </c>
      <c r="B24" s="65" t="s">
        <v>14</v>
      </c>
      <c r="C24" s="66" t="s">
        <v>28</v>
      </c>
    </row>
    <row r="25" spans="1:3" ht="25.15" customHeight="1" x14ac:dyDescent="0.15">
      <c r="A25" s="68">
        <v>276.10000000000002</v>
      </c>
      <c r="B25" s="65" t="s">
        <v>14</v>
      </c>
      <c r="C25" s="66" t="s">
        <v>29</v>
      </c>
    </row>
    <row r="26" spans="1:3" ht="25.15" customHeight="1" x14ac:dyDescent="0.15">
      <c r="A26" s="68">
        <v>6000</v>
      </c>
      <c r="B26" s="65" t="s">
        <v>9</v>
      </c>
      <c r="C26" s="66" t="s">
        <v>30</v>
      </c>
    </row>
    <row r="27" spans="1:3" ht="25.15" customHeight="1" x14ac:dyDescent="0.15">
      <c r="A27" s="68">
        <v>640</v>
      </c>
      <c r="B27" s="65" t="s">
        <v>9</v>
      </c>
      <c r="C27" s="66" t="s">
        <v>31</v>
      </c>
    </row>
    <row r="28" spans="1:3" ht="25.15" customHeight="1" x14ac:dyDescent="0.15">
      <c r="A28" s="68">
        <v>500</v>
      </c>
      <c r="B28" s="65" t="s">
        <v>32</v>
      </c>
      <c r="C28" s="66" t="s">
        <v>33</v>
      </c>
    </row>
    <row r="29" spans="1:3" ht="25.15" customHeight="1" x14ac:dyDescent="0.15">
      <c r="A29" s="68">
        <v>600</v>
      </c>
      <c r="B29" s="65" t="s">
        <v>32</v>
      </c>
      <c r="C29" s="66" t="s">
        <v>34</v>
      </c>
    </row>
    <row r="30" spans="1:3" ht="25.15" customHeight="1" x14ac:dyDescent="0.15">
      <c r="A30" s="68">
        <v>938</v>
      </c>
      <c r="B30" s="65" t="s">
        <v>25</v>
      </c>
      <c r="C30" s="66" t="s">
        <v>35</v>
      </c>
    </row>
    <row r="31" spans="1:3" ht="25.15" customHeight="1" x14ac:dyDescent="0.15">
      <c r="A31" s="68">
        <v>1000</v>
      </c>
      <c r="B31" s="65" t="s">
        <v>25</v>
      </c>
      <c r="C31" s="66" t="s">
        <v>26</v>
      </c>
    </row>
    <row r="32" spans="1:3" ht="25.15" customHeight="1" x14ac:dyDescent="0.15">
      <c r="A32" s="68">
        <v>60.5</v>
      </c>
      <c r="B32" s="65" t="s">
        <v>25</v>
      </c>
      <c r="C32" s="66" t="s">
        <v>36</v>
      </c>
    </row>
    <row r="33" spans="1:3" ht="25.15" customHeight="1" x14ac:dyDescent="0.15">
      <c r="A33" s="68">
        <v>162.41</v>
      </c>
      <c r="B33" s="65" t="s">
        <v>37</v>
      </c>
      <c r="C33" s="66" t="s">
        <v>38</v>
      </c>
    </row>
    <row r="34" spans="1:3" ht="25.15" customHeight="1" x14ac:dyDescent="0.15">
      <c r="A34" s="68">
        <v>42.16</v>
      </c>
      <c r="B34" s="65" t="s">
        <v>25</v>
      </c>
      <c r="C34" s="66" t="s">
        <v>35</v>
      </c>
    </row>
    <row r="35" spans="1:3" ht="25.15" customHeight="1" x14ac:dyDescent="0.15">
      <c r="A35" s="68">
        <v>1000</v>
      </c>
      <c r="B35" s="65" t="s">
        <v>25</v>
      </c>
      <c r="C35" s="66" t="s">
        <v>26</v>
      </c>
    </row>
    <row r="36" spans="1:3" ht="25.15" customHeight="1" x14ac:dyDescent="0.15">
      <c r="A36" s="68">
        <v>500</v>
      </c>
      <c r="B36" s="65" t="s">
        <v>9</v>
      </c>
      <c r="C36" s="66" t="s">
        <v>39</v>
      </c>
    </row>
    <row r="37" spans="1:3" ht="25.15" customHeight="1" x14ac:dyDescent="0.15">
      <c r="A37" s="68">
        <v>1300</v>
      </c>
      <c r="B37" s="65" t="s">
        <v>25</v>
      </c>
      <c r="C37" s="66" t="s">
        <v>40</v>
      </c>
    </row>
    <row r="38" spans="1:3" ht="25.15" customHeight="1" x14ac:dyDescent="0.15">
      <c r="A38" s="68">
        <v>253.84</v>
      </c>
      <c r="B38" s="65" t="s">
        <v>25</v>
      </c>
      <c r="C38" s="66" t="s">
        <v>36</v>
      </c>
    </row>
    <row r="39" spans="1:3" ht="25.15" customHeight="1" x14ac:dyDescent="0.15">
      <c r="A39" s="68">
        <v>1000</v>
      </c>
      <c r="B39" s="65" t="s">
        <v>25</v>
      </c>
      <c r="C39" s="66" t="s">
        <v>26</v>
      </c>
    </row>
    <row r="40" spans="1:3" ht="25.15" customHeight="1" x14ac:dyDescent="0.15">
      <c r="A40" s="68">
        <v>355.3</v>
      </c>
      <c r="B40" s="65" t="s">
        <v>25</v>
      </c>
      <c r="C40" s="66" t="s">
        <v>36</v>
      </c>
    </row>
    <row r="41" spans="1:3" ht="25.15" customHeight="1" x14ac:dyDescent="0.15">
      <c r="A41" s="68">
        <v>3000</v>
      </c>
      <c r="B41" s="65" t="s">
        <v>25</v>
      </c>
      <c r="C41" s="66" t="s">
        <v>41</v>
      </c>
    </row>
    <row r="42" spans="1:3" ht="25.15" customHeight="1" x14ac:dyDescent="0.15">
      <c r="A42" s="68">
        <v>174</v>
      </c>
      <c r="B42" s="65" t="s">
        <v>25</v>
      </c>
      <c r="C42" s="66" t="s">
        <v>36</v>
      </c>
    </row>
    <row r="43" spans="1:3" ht="25.15" customHeight="1" x14ac:dyDescent="0.15">
      <c r="A43" s="68">
        <v>33.6</v>
      </c>
      <c r="B43" s="65" t="s">
        <v>14</v>
      </c>
      <c r="C43" s="66" t="s">
        <v>42</v>
      </c>
    </row>
    <row r="44" spans="1:3" ht="25.15" customHeight="1" x14ac:dyDescent="0.15">
      <c r="A44" s="68">
        <v>500</v>
      </c>
      <c r="B44" s="65" t="s">
        <v>25</v>
      </c>
      <c r="C44" s="66" t="s">
        <v>26</v>
      </c>
    </row>
    <row r="45" spans="1:3" ht="25.15" customHeight="1" x14ac:dyDescent="0.15">
      <c r="A45" s="68">
        <v>1486.65</v>
      </c>
      <c r="B45" s="68" t="s">
        <v>16</v>
      </c>
      <c r="C45" s="68" t="s">
        <v>43</v>
      </c>
    </row>
  </sheetData>
  <phoneticPr fontId="7" type="noConversion"/>
  <dataValidations count="2">
    <dataValidation type="list" allowBlank="1" showInputMessage="1" showErrorMessage="1" sqref="F16:F17" xr:uid="{00000000-0002-0000-0000-000000000000}">
      <formula1>"房租，装修，其他，设备，食材，推广，水电"</formula1>
    </dataValidation>
    <dataValidation type="list" allowBlank="1" showInputMessage="1" showErrorMessage="1" sqref="F5 B44 B45 B7:B43 F6:F15" xr:uid="{00000000-0002-0000-0000-000001000000}">
      <formula1>"房租,装修,其他,设备,食材,推广,水电"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D60"/>
  <sheetViews>
    <sheetView workbookViewId="0">
      <selection activeCell="B6" sqref="B6"/>
    </sheetView>
  </sheetViews>
  <sheetFormatPr defaultColWidth="30.625" defaultRowHeight="25.15" customHeight="1" x14ac:dyDescent="0.15"/>
  <cols>
    <col min="1" max="2" width="30.625" style="37" customWidth="1"/>
    <col min="3" max="3" width="30.625" style="38" customWidth="1"/>
    <col min="4" max="4" width="30.625" style="37" customWidth="1"/>
    <col min="5" max="16384" width="30.625" style="37"/>
  </cols>
  <sheetData>
    <row r="1" spans="1:3" s="3" customFormat="1" ht="25.15" customHeight="1" x14ac:dyDescent="0.15">
      <c r="A1" s="69" t="s">
        <v>44</v>
      </c>
      <c r="B1" s="70"/>
      <c r="C1" s="71"/>
    </row>
    <row r="2" spans="1:3" ht="25.15" customHeight="1" x14ac:dyDescent="0.15">
      <c r="A2" s="39" t="s">
        <v>45</v>
      </c>
      <c r="B2" s="39" t="s">
        <v>46</v>
      </c>
      <c r="C2" s="40" t="s">
        <v>47</v>
      </c>
    </row>
    <row r="3" spans="1:3" ht="25.15" customHeight="1" x14ac:dyDescent="0.15">
      <c r="A3" s="41" t="s">
        <v>48</v>
      </c>
      <c r="B3" s="42">
        <f>SUM(收入明细2602[收入明细])</f>
        <v>42435.74</v>
      </c>
      <c r="C3" s="41" t="s">
        <v>49</v>
      </c>
    </row>
    <row r="4" spans="1:3" ht="25.15" customHeight="1" x14ac:dyDescent="0.15">
      <c r="A4" s="43" t="s">
        <v>50</v>
      </c>
      <c r="B4" s="44">
        <f>SUM(支出明细2602[支出明细])</f>
        <v>40327.81</v>
      </c>
      <c r="C4" s="43" t="s">
        <v>49</v>
      </c>
    </row>
    <row r="5" spans="1:3" ht="25.15" customHeight="1" x14ac:dyDescent="0.15">
      <c r="A5" s="45" t="s">
        <v>51</v>
      </c>
      <c r="B5" s="46">
        <f>$B$3-SUMIF(支出明细2602[分类],"食材",支出明细2602[支出明细])</f>
        <v>18551.939999999999</v>
      </c>
      <c r="C5" s="45" t="s">
        <v>49</v>
      </c>
    </row>
    <row r="6" spans="1:3" ht="25.15" customHeight="1" x14ac:dyDescent="0.15">
      <c r="A6" s="45" t="s">
        <v>52</v>
      </c>
      <c r="B6" s="46">
        <f>$B$3-$B$4</f>
        <v>2107.9300000000003</v>
      </c>
      <c r="C6" s="45" t="s">
        <v>49</v>
      </c>
    </row>
    <row r="7" spans="1:3" ht="25.15" customHeight="1" x14ac:dyDescent="0.15">
      <c r="A7" s="45" t="s">
        <v>53</v>
      </c>
      <c r="B7" s="47">
        <f>$B$5/$B$3</f>
        <v>0.43717724729202317</v>
      </c>
      <c r="C7" s="47" t="s">
        <v>54</v>
      </c>
    </row>
    <row r="8" spans="1:3" ht="25.15" customHeight="1" x14ac:dyDescent="0.15">
      <c r="A8" s="45" t="s">
        <v>55</v>
      </c>
      <c r="B8" s="47">
        <f>$B$6/$B$3</f>
        <v>4.9673459211504276E-2</v>
      </c>
      <c r="C8" s="47" t="s">
        <v>54</v>
      </c>
    </row>
    <row r="11" spans="1:3" ht="25.15" customHeight="1" x14ac:dyDescent="0.15">
      <c r="A11" s="72" t="s">
        <v>56</v>
      </c>
      <c r="B11" s="73"/>
      <c r="C11" s="74"/>
    </row>
    <row r="12" spans="1:3" ht="25.15" customHeight="1" x14ac:dyDescent="0.15">
      <c r="A12" s="48" t="s">
        <v>57</v>
      </c>
      <c r="B12" s="48" t="s">
        <v>58</v>
      </c>
      <c r="C12" s="48" t="s">
        <v>59</v>
      </c>
    </row>
    <row r="13" spans="1:3" ht="25.15" customHeight="1" x14ac:dyDescent="0.15">
      <c r="A13" s="45" t="s">
        <v>60</v>
      </c>
      <c r="B13" s="46">
        <f>SUMIF(收入明细2602[分类],"淘宝外卖",收入明细2602[收入明细])</f>
        <v>19919.099999999999</v>
      </c>
      <c r="C13" s="47">
        <f>$B$13/$B$3</f>
        <v>0.46939443026090744</v>
      </c>
    </row>
    <row r="14" spans="1:3" ht="25.15" customHeight="1" x14ac:dyDescent="0.15">
      <c r="A14" s="49" t="s">
        <v>61</v>
      </c>
      <c r="B14" s="50">
        <f>SUMIF(收入明细2602[分类],"美团外卖",收入明细2602[收入明细])</f>
        <v>13970.88</v>
      </c>
      <c r="C14" s="51">
        <f>$B$14/$B$3</f>
        <v>0.32922437549103656</v>
      </c>
    </row>
    <row r="15" spans="1:3" ht="25.15" customHeight="1" x14ac:dyDescent="0.15">
      <c r="A15" s="45" t="s">
        <v>62</v>
      </c>
      <c r="B15" s="46">
        <f>SUMIF(收入明细2602[分类],"微信堂食",收入明细2602[收入明细])</f>
        <v>6683.96</v>
      </c>
      <c r="C15" s="47">
        <f>$B$15/$B$3</f>
        <v>0.15750779885068578</v>
      </c>
    </row>
    <row r="16" spans="1:3" ht="25.15" customHeight="1" x14ac:dyDescent="0.15">
      <c r="A16" s="49" t="s">
        <v>63</v>
      </c>
      <c r="B16" s="50">
        <f>SUMIF(收入明细2602[分类],"支付宝堂食",收入明细2602[收入明细])</f>
        <v>1861.8</v>
      </c>
      <c r="C16" s="51">
        <f>$B$16/$B$3</f>
        <v>4.3873395397370236E-2</v>
      </c>
    </row>
    <row r="17" spans="1:3" ht="25.15" customHeight="1" x14ac:dyDescent="0.15">
      <c r="A17" s="45" t="s">
        <v>64</v>
      </c>
      <c r="B17" s="46">
        <f>SUMIF(收入明细2602[分类],"京东外卖",收入明细2602[收入明细])</f>
        <v>0</v>
      </c>
      <c r="C17" s="47">
        <f>$B$17/$B$3</f>
        <v>0</v>
      </c>
    </row>
    <row r="18" spans="1:3" ht="25.15" customHeight="1" x14ac:dyDescent="0.15">
      <c r="A18" s="52" t="s">
        <v>65</v>
      </c>
      <c r="B18" s="53">
        <f>SUM(收入明细2602[收入明细])</f>
        <v>42435.74</v>
      </c>
      <c r="C18" s="54">
        <f>SUM($C$13:$C$17)</f>
        <v>1</v>
      </c>
    </row>
    <row r="21" spans="1:3" ht="25.15" customHeight="1" x14ac:dyDescent="0.15">
      <c r="A21" s="75" t="s">
        <v>66</v>
      </c>
      <c r="B21" s="73"/>
      <c r="C21" s="74"/>
    </row>
    <row r="22" spans="1:3" ht="25.15" customHeight="1" x14ac:dyDescent="0.15">
      <c r="A22" s="55" t="s">
        <v>67</v>
      </c>
      <c r="B22" s="55" t="s">
        <v>58</v>
      </c>
      <c r="C22" s="55" t="s">
        <v>59</v>
      </c>
    </row>
    <row r="23" spans="1:3" ht="25.15" customHeight="1" x14ac:dyDescent="0.15">
      <c r="A23" s="49" t="s">
        <v>25</v>
      </c>
      <c r="B23" s="50">
        <f>SUMIF(支出明细2602[分类],"食材",支出明细2602[支出明细])</f>
        <v>23883.8</v>
      </c>
      <c r="C23" s="51">
        <f>$B$23/$B$4</f>
        <v>0.59224143339298618</v>
      </c>
    </row>
    <row r="24" spans="1:3" ht="25.15" customHeight="1" x14ac:dyDescent="0.15">
      <c r="A24" s="45" t="s">
        <v>68</v>
      </c>
      <c r="B24" s="46">
        <f>SUMIF(支出明细2602[分类],"工资",支出明细2602[支出明细])</f>
        <v>8500</v>
      </c>
      <c r="C24" s="47">
        <f>$B$24/$B$4</f>
        <v>0.21077266531458069</v>
      </c>
    </row>
    <row r="25" spans="1:3" ht="25.15" customHeight="1" x14ac:dyDescent="0.15">
      <c r="A25" s="49" t="s">
        <v>6</v>
      </c>
      <c r="B25" s="50">
        <f>SUMIF(支出明细2602[分类],"房租",支出明细2602[支出明细])</f>
        <v>4333</v>
      </c>
      <c r="C25" s="51">
        <f>$B$25/$B$4</f>
        <v>0.10744446574212684</v>
      </c>
    </row>
    <row r="26" spans="1:3" ht="25.15" customHeight="1" x14ac:dyDescent="0.15">
      <c r="A26" s="45" t="s">
        <v>32</v>
      </c>
      <c r="B26" s="46">
        <f>SUMIF(支出明细2602[分类],"推广",支出明细2602[支出明细])</f>
        <v>600</v>
      </c>
      <c r="C26" s="47">
        <f>$B$26/$B$4</f>
        <v>1.4878070492793931E-2</v>
      </c>
    </row>
    <row r="27" spans="1:3" ht="25.15" customHeight="1" x14ac:dyDescent="0.15">
      <c r="A27" s="49" t="s">
        <v>37</v>
      </c>
      <c r="B27" s="50">
        <f>SUMIF(支出明细2602[分类],"水电",支出明细2602[支出明细])</f>
        <v>2977.41</v>
      </c>
      <c r="C27" s="51">
        <f>$B$27/$B$4</f>
        <v>7.3830193109915968E-2</v>
      </c>
    </row>
    <row r="28" spans="1:3" ht="25.15" customHeight="1" x14ac:dyDescent="0.15">
      <c r="A28" s="45" t="s">
        <v>14</v>
      </c>
      <c r="B28" s="46">
        <f>SUMIF(支出明细2602[分类],"其他",支出明细2602[支出明细])</f>
        <v>33.6</v>
      </c>
      <c r="C28" s="47">
        <f>$B$28/$B$4</f>
        <v>8.3317194759646024E-4</v>
      </c>
    </row>
    <row r="29" spans="1:3" ht="25.15" customHeight="1" x14ac:dyDescent="0.15">
      <c r="A29" s="56" t="s">
        <v>65</v>
      </c>
      <c r="B29" s="57">
        <f>SUM(支出明细2602[支出明细])</f>
        <v>40327.81</v>
      </c>
      <c r="C29" s="58">
        <f>SUM($C$23:$C$28)</f>
        <v>1</v>
      </c>
    </row>
    <row r="32" spans="1:3" ht="25.15" customHeight="1" x14ac:dyDescent="0.15">
      <c r="A32" s="59" t="s">
        <v>69</v>
      </c>
      <c r="B32" s="37" t="s">
        <v>4</v>
      </c>
      <c r="C32" s="60" t="s">
        <v>5</v>
      </c>
    </row>
    <row r="33" spans="1:4" ht="25.15" customHeight="1" x14ac:dyDescent="0.15">
      <c r="A33" s="61">
        <v>6683.96</v>
      </c>
      <c r="B33" s="37" t="s">
        <v>62</v>
      </c>
      <c r="C33" s="62"/>
    </row>
    <row r="34" spans="1:4" ht="25.15" customHeight="1" x14ac:dyDescent="0.15">
      <c r="A34" s="61">
        <v>1861.8</v>
      </c>
      <c r="B34" s="37" t="s">
        <v>63</v>
      </c>
      <c r="C34" s="62"/>
    </row>
    <row r="35" spans="1:4" ht="25.15" customHeight="1" x14ac:dyDescent="0.15">
      <c r="A35" s="61">
        <v>0</v>
      </c>
      <c r="B35" s="37" t="s">
        <v>64</v>
      </c>
      <c r="C35" s="62" t="s">
        <v>70</v>
      </c>
    </row>
    <row r="36" spans="1:4" ht="25.15" customHeight="1" x14ac:dyDescent="0.15">
      <c r="A36" s="61">
        <v>19919.099999999999</v>
      </c>
      <c r="B36" s="37" t="s">
        <v>60</v>
      </c>
      <c r="C36" s="62"/>
    </row>
    <row r="37" spans="1:4" ht="25.15" customHeight="1" x14ac:dyDescent="0.15">
      <c r="A37" s="61">
        <v>13970.88</v>
      </c>
      <c r="B37" s="37" t="s">
        <v>61</v>
      </c>
      <c r="C37" s="62"/>
    </row>
    <row r="40" spans="1:4" ht="25.15" customHeight="1" x14ac:dyDescent="0.15">
      <c r="A40" s="63" t="s">
        <v>71</v>
      </c>
      <c r="B40" s="60" t="s">
        <v>4</v>
      </c>
      <c r="C40" s="62" t="s">
        <v>5</v>
      </c>
      <c r="D40" s="3"/>
    </row>
    <row r="41" spans="1:4" ht="25.15" customHeight="1" x14ac:dyDescent="0.15">
      <c r="A41" s="63">
        <v>4333</v>
      </c>
      <c r="B41" s="60" t="s">
        <v>6</v>
      </c>
      <c r="C41" s="62" t="s">
        <v>72</v>
      </c>
      <c r="D41" s="3"/>
    </row>
    <row r="42" spans="1:4" ht="25.15" customHeight="1" x14ac:dyDescent="0.15">
      <c r="A42" s="63">
        <v>8500</v>
      </c>
      <c r="B42" s="60" t="s">
        <v>68</v>
      </c>
      <c r="C42" s="62" t="s">
        <v>73</v>
      </c>
      <c r="D42" s="3"/>
    </row>
    <row r="43" spans="1:4" ht="25.15" customHeight="1" x14ac:dyDescent="0.15">
      <c r="A43" s="63">
        <v>1000</v>
      </c>
      <c r="B43" s="60" t="s">
        <v>25</v>
      </c>
      <c r="C43" s="62" t="s">
        <v>26</v>
      </c>
      <c r="D43" s="3"/>
    </row>
    <row r="44" spans="1:4" ht="25.15" customHeight="1" x14ac:dyDescent="0.15">
      <c r="A44" s="63">
        <v>13260</v>
      </c>
      <c r="B44" s="60" t="s">
        <v>25</v>
      </c>
      <c r="C44" s="62" t="s">
        <v>27</v>
      </c>
      <c r="D44" s="3"/>
    </row>
    <row r="45" spans="1:4" ht="25.15" customHeight="1" x14ac:dyDescent="0.15">
      <c r="A45" s="63">
        <v>600</v>
      </c>
      <c r="B45" s="60" t="s">
        <v>32</v>
      </c>
      <c r="C45" s="62" t="s">
        <v>34</v>
      </c>
      <c r="D45" s="3"/>
    </row>
    <row r="46" spans="1:4" ht="25.15" customHeight="1" x14ac:dyDescent="0.15">
      <c r="A46" s="63">
        <v>938</v>
      </c>
      <c r="B46" s="60" t="s">
        <v>25</v>
      </c>
      <c r="C46" s="62" t="s">
        <v>35</v>
      </c>
      <c r="D46" s="3"/>
    </row>
    <row r="47" spans="1:4" ht="25.15" customHeight="1" x14ac:dyDescent="0.15">
      <c r="A47" s="63">
        <v>1000</v>
      </c>
      <c r="B47" s="60" t="s">
        <v>25</v>
      </c>
      <c r="C47" s="62" t="s">
        <v>26</v>
      </c>
      <c r="D47" s="3"/>
    </row>
    <row r="48" spans="1:4" ht="25.15" customHeight="1" x14ac:dyDescent="0.15">
      <c r="A48" s="63">
        <v>60.5</v>
      </c>
      <c r="B48" s="60" t="s">
        <v>25</v>
      </c>
      <c r="C48" s="62" t="s">
        <v>36</v>
      </c>
      <c r="D48" s="3"/>
    </row>
    <row r="49" spans="1:4" ht="25.15" customHeight="1" x14ac:dyDescent="0.15">
      <c r="A49" s="63">
        <v>162.41</v>
      </c>
      <c r="B49" s="60" t="s">
        <v>37</v>
      </c>
      <c r="C49" s="62" t="s">
        <v>74</v>
      </c>
      <c r="D49" s="3"/>
    </row>
    <row r="50" spans="1:4" ht="25.15" customHeight="1" x14ac:dyDescent="0.15">
      <c r="A50" s="63">
        <v>2815</v>
      </c>
      <c r="B50" s="60" t="s">
        <v>37</v>
      </c>
      <c r="C50" s="62" t="s">
        <v>75</v>
      </c>
      <c r="D50" s="3"/>
    </row>
    <row r="51" spans="1:4" ht="25.15" customHeight="1" x14ac:dyDescent="0.15">
      <c r="A51" s="63">
        <v>42.16</v>
      </c>
      <c r="B51" s="60" t="s">
        <v>25</v>
      </c>
      <c r="C51" s="62" t="s">
        <v>35</v>
      </c>
      <c r="D51" s="3"/>
    </row>
    <row r="52" spans="1:4" ht="25.15" customHeight="1" x14ac:dyDescent="0.15">
      <c r="A52" s="63">
        <v>1000</v>
      </c>
      <c r="B52" s="60" t="s">
        <v>25</v>
      </c>
      <c r="C52" s="62" t="s">
        <v>26</v>
      </c>
      <c r="D52" s="3"/>
    </row>
    <row r="53" spans="1:4" ht="25.15" customHeight="1" x14ac:dyDescent="0.15">
      <c r="A53" s="63">
        <v>1300</v>
      </c>
      <c r="B53" s="60" t="s">
        <v>25</v>
      </c>
      <c r="C53" s="62" t="s">
        <v>76</v>
      </c>
      <c r="D53" s="3"/>
    </row>
    <row r="54" spans="1:4" ht="25.15" customHeight="1" x14ac:dyDescent="0.15">
      <c r="A54" s="63">
        <v>253.84</v>
      </c>
      <c r="B54" s="60" t="s">
        <v>25</v>
      </c>
      <c r="C54" s="62" t="s">
        <v>36</v>
      </c>
      <c r="D54" s="3"/>
    </row>
    <row r="55" spans="1:4" ht="25.15" customHeight="1" x14ac:dyDescent="0.15">
      <c r="A55" s="63">
        <v>1000</v>
      </c>
      <c r="B55" s="60" t="s">
        <v>25</v>
      </c>
      <c r="C55" s="62" t="s">
        <v>26</v>
      </c>
      <c r="D55" s="3"/>
    </row>
    <row r="56" spans="1:4" ht="25.15" customHeight="1" x14ac:dyDescent="0.15">
      <c r="A56" s="63">
        <v>355.3</v>
      </c>
      <c r="B56" s="60" t="s">
        <v>25</v>
      </c>
      <c r="C56" s="62" t="s">
        <v>36</v>
      </c>
      <c r="D56" s="3"/>
    </row>
    <row r="57" spans="1:4" ht="25.15" customHeight="1" x14ac:dyDescent="0.15">
      <c r="A57" s="63">
        <v>3000</v>
      </c>
      <c r="B57" s="60" t="s">
        <v>25</v>
      </c>
      <c r="C57" s="62" t="s">
        <v>41</v>
      </c>
      <c r="D57" s="3"/>
    </row>
    <row r="58" spans="1:4" ht="25.15" customHeight="1" x14ac:dyDescent="0.15">
      <c r="A58" s="63">
        <v>174</v>
      </c>
      <c r="B58" s="60" t="s">
        <v>25</v>
      </c>
      <c r="C58" s="62" t="s">
        <v>36</v>
      </c>
      <c r="D58" s="3"/>
    </row>
    <row r="59" spans="1:4" ht="25.15" customHeight="1" x14ac:dyDescent="0.15">
      <c r="A59" s="63">
        <v>33.6</v>
      </c>
      <c r="B59" s="60" t="s">
        <v>14</v>
      </c>
      <c r="C59" s="62" t="s">
        <v>42</v>
      </c>
      <c r="D59" s="3"/>
    </row>
    <row r="60" spans="1:4" ht="25.15" customHeight="1" x14ac:dyDescent="0.15">
      <c r="A60" s="63">
        <v>500</v>
      </c>
      <c r="B60" s="60" t="s">
        <v>25</v>
      </c>
      <c r="C60" s="62" t="s">
        <v>26</v>
      </c>
      <c r="D60" s="3"/>
    </row>
  </sheetData>
  <mergeCells count="3">
    <mergeCell ref="A1:C1"/>
    <mergeCell ref="A11:C11"/>
    <mergeCell ref="A21:C21"/>
  </mergeCells>
  <phoneticPr fontId="7" type="noConversion"/>
  <dataValidations count="2">
    <dataValidation type="list" allowBlank="1" showInputMessage="1" showErrorMessage="1" sqref="B56:B60" xr:uid="{00000000-0002-0000-0100-000000000000}">
      <formula1>"房租,装修,其他,设备,食材,推广,水电"</formula1>
    </dataValidation>
    <dataValidation type="list" allowBlank="1" showInputMessage="1" showErrorMessage="1" sqref="B50 B41:B49 B51:B55" xr:uid="{00000000-0002-0000-0100-000001000000}">
      <formula1>"房租,其他,食材,推广,水电,工资"</formula1>
    </dataValidation>
  </dataValidations>
  <pageMargins left="0.7" right="0.7" top="0.75" bottom="0.75" header="0.3" footer="0.3"/>
  <pageSetup paperSize="9" orientation="portrait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C106"/>
  <sheetViews>
    <sheetView workbookViewId="0">
      <selection activeCell="D22" sqref="D22"/>
    </sheetView>
  </sheetViews>
  <sheetFormatPr defaultColWidth="30.625" defaultRowHeight="25.15" customHeight="1" x14ac:dyDescent="0.15"/>
  <cols>
    <col min="1" max="1" width="30.625" style="2" customWidth="1"/>
    <col min="2" max="16384" width="30.625" style="2"/>
  </cols>
  <sheetData>
    <row r="1" spans="1:3" ht="25.15" customHeight="1" x14ac:dyDescent="0.15">
      <c r="A1" s="76" t="s">
        <v>44</v>
      </c>
      <c r="B1" s="70"/>
      <c r="C1" s="70"/>
    </row>
    <row r="2" spans="1:3" ht="25.15" customHeight="1" x14ac:dyDescent="0.15">
      <c r="A2" s="5" t="s">
        <v>45</v>
      </c>
      <c r="B2" s="5" t="s">
        <v>46</v>
      </c>
      <c r="C2" s="5" t="s">
        <v>47</v>
      </c>
    </row>
    <row r="3" spans="1:3" ht="25.15" customHeight="1" x14ac:dyDescent="0.15">
      <c r="A3" s="8" t="s">
        <v>48</v>
      </c>
      <c r="B3" s="7">
        <f>SUM(收入明细2603[收入明细])</f>
        <v>73829.049999999988</v>
      </c>
      <c r="C3" s="8" t="s">
        <v>49</v>
      </c>
    </row>
    <row r="4" spans="1:3" ht="25.15" customHeight="1" x14ac:dyDescent="0.15">
      <c r="A4" s="11" t="s">
        <v>50</v>
      </c>
      <c r="B4" s="10">
        <f>SUM(支出明细2603[支出明细])</f>
        <v>68152.7</v>
      </c>
      <c r="C4" s="11" t="s">
        <v>49</v>
      </c>
    </row>
    <row r="5" spans="1:3" ht="25.15" customHeight="1" x14ac:dyDescent="0.15">
      <c r="A5" s="14" t="s">
        <v>51</v>
      </c>
      <c r="B5" s="13">
        <f>$B$3-SUMIF(支出明细2603[分类],"食材",支出明细2603[支出明细])</f>
        <v>30354.239999999998</v>
      </c>
      <c r="C5" s="14" t="s">
        <v>49</v>
      </c>
    </row>
    <row r="6" spans="1:3" ht="25.15" customHeight="1" x14ac:dyDescent="0.15">
      <c r="A6" s="14" t="s">
        <v>52</v>
      </c>
      <c r="B6" s="13">
        <f>$B$3-$B$4</f>
        <v>5676.3499999999913</v>
      </c>
      <c r="C6" s="14" t="s">
        <v>49</v>
      </c>
    </row>
    <row r="7" spans="1:3" ht="25.15" customHeight="1" x14ac:dyDescent="0.15">
      <c r="A7" s="14" t="s">
        <v>53</v>
      </c>
      <c r="B7" s="15">
        <f>$B$5/$B$3</f>
        <v>0.41114222653548982</v>
      </c>
      <c r="C7" s="14" t="s">
        <v>54</v>
      </c>
    </row>
    <row r="8" spans="1:3" ht="25.15" customHeight="1" x14ac:dyDescent="0.15">
      <c r="A8" s="14" t="s">
        <v>55</v>
      </c>
      <c r="B8" s="15">
        <f>$B$6/$B$3</f>
        <v>7.6885047281523899E-2</v>
      </c>
      <c r="C8" s="14" t="s">
        <v>54</v>
      </c>
    </row>
    <row r="9" spans="1:3" ht="25.15" customHeight="1" x14ac:dyDescent="0.15">
      <c r="A9" s="3"/>
      <c r="B9" s="3"/>
      <c r="C9" s="3"/>
    </row>
    <row r="11" spans="1:3" ht="25.15" customHeight="1" x14ac:dyDescent="0.15">
      <c r="A11" s="77" t="s">
        <v>56</v>
      </c>
      <c r="B11" s="70"/>
      <c r="C11" s="70"/>
    </row>
    <row r="12" spans="1:3" ht="25.15" customHeight="1" x14ac:dyDescent="0.15">
      <c r="A12" s="17" t="s">
        <v>57</v>
      </c>
      <c r="B12" s="17" t="s">
        <v>58</v>
      </c>
      <c r="C12" s="17" t="s">
        <v>59</v>
      </c>
    </row>
    <row r="13" spans="1:3" ht="25.15" customHeight="1" x14ac:dyDescent="0.15">
      <c r="A13" s="14" t="s">
        <v>60</v>
      </c>
      <c r="B13" s="13">
        <f>SUMIF(收入明细2603[分类],"淘宝外卖",收入明细2603[收入明细])</f>
        <v>28180.51</v>
      </c>
      <c r="C13" s="15">
        <f>$B$13/$B$3</f>
        <v>0.3816994800827046</v>
      </c>
    </row>
    <row r="14" spans="1:3" ht="25.15" customHeight="1" x14ac:dyDescent="0.15">
      <c r="A14" s="14" t="s">
        <v>61</v>
      </c>
      <c r="B14" s="13">
        <f>SUMIF(收入明细2603[分类],"美团外卖",收入明细2603[收入明细])</f>
        <v>24949.9</v>
      </c>
      <c r="C14" s="15">
        <f>$B$14/$B$3</f>
        <v>0.33794150134669221</v>
      </c>
    </row>
    <row r="15" spans="1:3" ht="25.15" customHeight="1" x14ac:dyDescent="0.15">
      <c r="A15" s="14" t="s">
        <v>62</v>
      </c>
      <c r="B15" s="13">
        <f>SUMIF(收入明细2603[分类],"微信堂食",收入明细2603[收入明细])</f>
        <v>8847.66</v>
      </c>
      <c r="C15" s="15">
        <f>$B$15/$B$3</f>
        <v>0.11983981914977913</v>
      </c>
    </row>
    <row r="16" spans="1:3" ht="25.15" customHeight="1" x14ac:dyDescent="0.15">
      <c r="A16" s="14" t="s">
        <v>63</v>
      </c>
      <c r="B16" s="13">
        <f>SUMIF(收入明细2603[分类],"支付宝堂食",收入明细2603[收入明细])</f>
        <v>2679.29</v>
      </c>
      <c r="C16" s="15">
        <f>$B$16/$B$3</f>
        <v>3.6290457482522132E-2</v>
      </c>
    </row>
    <row r="17" spans="1:3" ht="25.15" customHeight="1" x14ac:dyDescent="0.15">
      <c r="A17" s="14" t="s">
        <v>64</v>
      </c>
      <c r="B17" s="13">
        <f>SUMIF(收入明细2603[分类],"京东外卖",收入明细2603[收入明细])</f>
        <v>9171.69</v>
      </c>
      <c r="C17" s="15">
        <f>$B$17/$B$3</f>
        <v>0.12422874193830209</v>
      </c>
    </row>
    <row r="18" spans="1:3" ht="25.15" customHeight="1" x14ac:dyDescent="0.15">
      <c r="A18" s="33" t="s">
        <v>65</v>
      </c>
      <c r="B18" s="19">
        <f>SUM(B13:B17)</f>
        <v>73829.05</v>
      </c>
      <c r="C18" s="20">
        <f>SUM($C$13:$C$17)</f>
        <v>1.0000000000000002</v>
      </c>
    </row>
    <row r="21" spans="1:3" ht="25.15" customHeight="1" x14ac:dyDescent="0.15">
      <c r="A21" s="78" t="s">
        <v>66</v>
      </c>
      <c r="B21" s="78"/>
      <c r="C21" s="78"/>
    </row>
    <row r="22" spans="1:3" ht="25.15" customHeight="1" x14ac:dyDescent="0.15">
      <c r="A22" s="79" t="s">
        <v>67</v>
      </c>
      <c r="B22" s="80"/>
      <c r="C22" s="81"/>
    </row>
    <row r="23" spans="1:3" ht="25.15" customHeight="1" x14ac:dyDescent="0.15">
      <c r="A23" s="14" t="s">
        <v>25</v>
      </c>
      <c r="B23" s="13">
        <f>SUMIF(支出明细2603[分类],"食材",支出明细2603[支出明细])</f>
        <v>43474.80999999999</v>
      </c>
      <c r="C23" s="15">
        <f>$B$23/$B$4</f>
        <v>0.63790297376332838</v>
      </c>
    </row>
    <row r="24" spans="1:3" ht="25.15" customHeight="1" x14ac:dyDescent="0.15">
      <c r="A24" s="14" t="s">
        <v>68</v>
      </c>
      <c r="B24" s="13">
        <f>SUMIF(支出明细2603[分类],"工资",支出明细2603[支出明细])</f>
        <v>15000</v>
      </c>
      <c r="C24" s="15">
        <f>$B$24/$B$4</f>
        <v>0.22009399480871633</v>
      </c>
    </row>
    <row r="25" spans="1:3" ht="25.15" customHeight="1" x14ac:dyDescent="0.15">
      <c r="A25" s="14" t="s">
        <v>6</v>
      </c>
      <c r="B25" s="13">
        <f>SUMIF(支出明细2603[分类],"房租",支出明细2603[支出明细])</f>
        <v>4333</v>
      </c>
      <c r="C25" s="15">
        <f>$B$25/$B$4</f>
        <v>6.3577818633744523E-2</v>
      </c>
    </row>
    <row r="26" spans="1:3" ht="25.15" customHeight="1" x14ac:dyDescent="0.15">
      <c r="A26" s="14" t="s">
        <v>32</v>
      </c>
      <c r="B26" s="13">
        <f>SUMIF(支出明细2603[分类],"推广",支出明细2603[支出明细])</f>
        <v>850</v>
      </c>
      <c r="C26" s="15">
        <f>$B$26/$B$4</f>
        <v>1.2471993039160592E-2</v>
      </c>
    </row>
    <row r="27" spans="1:3" ht="25.15" customHeight="1" x14ac:dyDescent="0.15">
      <c r="A27" s="14" t="s">
        <v>37</v>
      </c>
      <c r="B27" s="13">
        <f>SUMIF(支出明细2603[分类],"水电",支出明细2603[支出明细])</f>
        <v>3747.9</v>
      </c>
      <c r="C27" s="15">
        <f>$B$27/$B$4</f>
        <v>5.4992685542905859E-2</v>
      </c>
    </row>
    <row r="28" spans="1:3" ht="25.15" customHeight="1" x14ac:dyDescent="0.15">
      <c r="A28" s="14" t="s">
        <v>14</v>
      </c>
      <c r="B28" s="13">
        <f>SUMIF(支出明细2603[分类],"其他",支出明细2603[支出明细])</f>
        <v>746.9899999999999</v>
      </c>
      <c r="C28" s="15">
        <f>$B$28/$B$4</f>
        <v>1.0960534212144199E-2</v>
      </c>
    </row>
    <row r="29" spans="1:3" ht="25.15" customHeight="1" x14ac:dyDescent="0.15">
      <c r="A29" s="34" t="s">
        <v>65</v>
      </c>
      <c r="B29" s="23">
        <f>SUM(B23:B28)</f>
        <v>68152.7</v>
      </c>
      <c r="C29" s="24">
        <f>SUM($C$23:$C$28)</f>
        <v>0.99999999999999989</v>
      </c>
    </row>
    <row r="32" spans="1:3" ht="25.15" customHeight="1" x14ac:dyDescent="0.15">
      <c r="A32" s="35" t="s">
        <v>69</v>
      </c>
      <c r="B32" s="25" t="s">
        <v>4</v>
      </c>
      <c r="C32" s="26" t="s">
        <v>5</v>
      </c>
    </row>
    <row r="33" spans="1:3" ht="25.15" customHeight="1" x14ac:dyDescent="0.15">
      <c r="A33" s="27">
        <v>8739.36</v>
      </c>
      <c r="B33" s="25" t="s">
        <v>62</v>
      </c>
      <c r="C33" s="26" t="s">
        <v>77</v>
      </c>
    </row>
    <row r="34" spans="1:3" ht="25.15" customHeight="1" x14ac:dyDescent="0.15">
      <c r="A34" s="27">
        <v>108.3</v>
      </c>
      <c r="B34" s="25" t="s">
        <v>62</v>
      </c>
      <c r="C34" s="26" t="s">
        <v>78</v>
      </c>
    </row>
    <row r="35" spans="1:3" ht="25.15" customHeight="1" x14ac:dyDescent="0.15">
      <c r="A35" s="27">
        <v>2679.29</v>
      </c>
      <c r="B35" s="25" t="s">
        <v>63</v>
      </c>
      <c r="C35" s="26"/>
    </row>
    <row r="36" spans="1:3" ht="25.15" customHeight="1" x14ac:dyDescent="0.15">
      <c r="A36" s="27">
        <v>9171.69</v>
      </c>
      <c r="B36" s="25" t="s">
        <v>64</v>
      </c>
      <c r="C36" s="26"/>
    </row>
    <row r="37" spans="1:3" ht="25.15" customHeight="1" x14ac:dyDescent="0.15">
      <c r="A37" s="27">
        <v>28180.51</v>
      </c>
      <c r="B37" s="25" t="s">
        <v>60</v>
      </c>
      <c r="C37" s="26"/>
    </row>
    <row r="38" spans="1:3" ht="25.15" customHeight="1" x14ac:dyDescent="0.15">
      <c r="A38" s="27">
        <v>24949.9</v>
      </c>
      <c r="B38" s="25" t="s">
        <v>61</v>
      </c>
      <c r="C38" s="26"/>
    </row>
    <row r="40" spans="1:3" ht="25.15" customHeight="1" x14ac:dyDescent="0.15">
      <c r="A40" s="35"/>
      <c r="B40" s="28"/>
      <c r="C40" s="29"/>
    </row>
    <row r="41" spans="1:3" ht="25.15" customHeight="1" x14ac:dyDescent="0.15">
      <c r="A41" s="36" t="s">
        <v>71</v>
      </c>
      <c r="B41" s="26" t="s">
        <v>4</v>
      </c>
      <c r="C41" s="26" t="s">
        <v>5</v>
      </c>
    </row>
    <row r="42" spans="1:3" ht="25.15" customHeight="1" x14ac:dyDescent="0.15">
      <c r="A42" s="1">
        <v>4333</v>
      </c>
      <c r="B42" s="26" t="s">
        <v>6</v>
      </c>
      <c r="C42" s="26" t="s">
        <v>72</v>
      </c>
    </row>
    <row r="43" spans="1:3" ht="25.15" customHeight="1" x14ac:dyDescent="0.15">
      <c r="A43" s="1">
        <v>15000</v>
      </c>
      <c r="B43" s="26" t="s">
        <v>68</v>
      </c>
      <c r="C43" s="26" t="s">
        <v>79</v>
      </c>
    </row>
    <row r="44" spans="1:3" ht="25.15" customHeight="1" x14ac:dyDescent="0.15">
      <c r="A44" s="1">
        <v>3747.9</v>
      </c>
      <c r="B44" s="26" t="s">
        <v>37</v>
      </c>
      <c r="C44" s="26" t="s">
        <v>80</v>
      </c>
    </row>
    <row r="45" spans="1:3" ht="25.15" customHeight="1" x14ac:dyDescent="0.15">
      <c r="A45" s="1">
        <v>4140</v>
      </c>
      <c r="B45" s="26" t="s">
        <v>25</v>
      </c>
      <c r="C45" s="26" t="s">
        <v>81</v>
      </c>
    </row>
    <row r="46" spans="1:3" ht="25.15" customHeight="1" x14ac:dyDescent="0.15">
      <c r="A46" s="1">
        <v>7866</v>
      </c>
      <c r="B46" s="26" t="s">
        <v>25</v>
      </c>
      <c r="C46" s="26" t="s">
        <v>82</v>
      </c>
    </row>
    <row r="47" spans="1:3" ht="25.15" customHeight="1" x14ac:dyDescent="0.15">
      <c r="A47" s="1">
        <v>28.64</v>
      </c>
      <c r="B47" s="26" t="s">
        <v>14</v>
      </c>
      <c r="C47" s="26" t="s">
        <v>83</v>
      </c>
    </row>
    <row r="48" spans="1:3" ht="25.15" customHeight="1" x14ac:dyDescent="0.15">
      <c r="A48" s="1">
        <v>44.48</v>
      </c>
      <c r="B48" s="26" t="s">
        <v>25</v>
      </c>
      <c r="C48" s="26" t="s">
        <v>36</v>
      </c>
    </row>
    <row r="49" spans="1:3" ht="25.15" customHeight="1" x14ac:dyDescent="0.15">
      <c r="A49" s="1">
        <v>3000</v>
      </c>
      <c r="B49" s="26" t="s">
        <v>25</v>
      </c>
      <c r="C49" s="26" t="s">
        <v>26</v>
      </c>
    </row>
    <row r="50" spans="1:3" ht="25.15" customHeight="1" x14ac:dyDescent="0.15">
      <c r="A50" s="1">
        <v>23</v>
      </c>
      <c r="B50" s="26" t="s">
        <v>25</v>
      </c>
      <c r="C50" s="26" t="s">
        <v>84</v>
      </c>
    </row>
    <row r="51" spans="1:3" ht="25.15" customHeight="1" x14ac:dyDescent="0.15">
      <c r="A51" s="1">
        <v>468</v>
      </c>
      <c r="B51" s="26" t="s">
        <v>25</v>
      </c>
      <c r="C51" s="26" t="s">
        <v>85</v>
      </c>
    </row>
    <row r="52" spans="1:3" ht="25.15" customHeight="1" x14ac:dyDescent="0.15">
      <c r="A52" s="1">
        <v>385</v>
      </c>
      <c r="B52" s="26" t="s">
        <v>25</v>
      </c>
      <c r="C52" s="26" t="s">
        <v>86</v>
      </c>
    </row>
    <row r="53" spans="1:3" ht="25.15" customHeight="1" x14ac:dyDescent="0.15">
      <c r="A53" s="1">
        <v>295</v>
      </c>
      <c r="B53" s="26" t="s">
        <v>25</v>
      </c>
      <c r="C53" s="26" t="s">
        <v>87</v>
      </c>
    </row>
    <row r="54" spans="1:3" ht="25.15" customHeight="1" x14ac:dyDescent="0.15">
      <c r="A54" s="1">
        <v>718</v>
      </c>
      <c r="B54" s="26" t="s">
        <v>25</v>
      </c>
      <c r="C54" s="26" t="s">
        <v>88</v>
      </c>
    </row>
    <row r="55" spans="1:3" ht="25.15" customHeight="1" x14ac:dyDescent="0.15">
      <c r="A55" s="1">
        <v>57.6</v>
      </c>
      <c r="B55" s="26" t="s">
        <v>25</v>
      </c>
      <c r="C55" s="26" t="s">
        <v>89</v>
      </c>
    </row>
    <row r="56" spans="1:3" ht="25.15" customHeight="1" x14ac:dyDescent="0.15">
      <c r="A56" s="1">
        <v>302.5</v>
      </c>
      <c r="B56" s="26" t="s">
        <v>25</v>
      </c>
      <c r="C56" s="26" t="s">
        <v>90</v>
      </c>
    </row>
    <row r="57" spans="1:3" ht="25.15" customHeight="1" x14ac:dyDescent="0.15">
      <c r="A57" s="1">
        <v>400</v>
      </c>
      <c r="B57" s="26" t="s">
        <v>32</v>
      </c>
      <c r="C57" s="26" t="s">
        <v>91</v>
      </c>
    </row>
    <row r="58" spans="1:3" ht="25.15" customHeight="1" x14ac:dyDescent="0.15">
      <c r="A58" s="1">
        <v>225</v>
      </c>
      <c r="B58" s="26" t="s">
        <v>25</v>
      </c>
      <c r="C58" s="26" t="s">
        <v>92</v>
      </c>
    </row>
    <row r="59" spans="1:3" ht="25.15" customHeight="1" x14ac:dyDescent="0.15">
      <c r="A59" s="1">
        <v>350</v>
      </c>
      <c r="B59" s="26" t="s">
        <v>25</v>
      </c>
      <c r="C59" s="26" t="s">
        <v>93</v>
      </c>
    </row>
    <row r="60" spans="1:3" ht="25.15" customHeight="1" x14ac:dyDescent="0.15">
      <c r="A60" s="1">
        <v>112</v>
      </c>
      <c r="B60" s="26" t="s">
        <v>25</v>
      </c>
      <c r="C60" s="26" t="s">
        <v>94</v>
      </c>
    </row>
    <row r="61" spans="1:3" ht="25.15" customHeight="1" x14ac:dyDescent="0.15">
      <c r="A61" s="1">
        <v>198</v>
      </c>
      <c r="B61" s="26" t="s">
        <v>25</v>
      </c>
      <c r="C61" s="26" t="s">
        <v>95</v>
      </c>
    </row>
    <row r="62" spans="1:3" ht="25.15" customHeight="1" x14ac:dyDescent="0.15">
      <c r="A62" s="1">
        <v>100</v>
      </c>
      <c r="B62" s="26" t="s">
        <v>32</v>
      </c>
      <c r="C62" s="26" t="s">
        <v>96</v>
      </c>
    </row>
    <row r="63" spans="1:3" ht="25.15" customHeight="1" x14ac:dyDescent="0.15">
      <c r="A63" s="1">
        <v>362</v>
      </c>
      <c r="B63" s="26" t="s">
        <v>25</v>
      </c>
      <c r="C63" s="26" t="s">
        <v>97</v>
      </c>
    </row>
    <row r="64" spans="1:3" ht="25.15" customHeight="1" x14ac:dyDescent="0.15">
      <c r="A64" s="1">
        <v>300</v>
      </c>
      <c r="B64" s="26" t="s">
        <v>32</v>
      </c>
      <c r="C64" s="26" t="s">
        <v>98</v>
      </c>
    </row>
    <row r="65" spans="1:3" ht="25.15" customHeight="1" x14ac:dyDescent="0.15">
      <c r="A65" s="1">
        <v>128</v>
      </c>
      <c r="B65" s="26" t="s">
        <v>25</v>
      </c>
      <c r="C65" s="26" t="s">
        <v>99</v>
      </c>
    </row>
    <row r="66" spans="1:3" ht="25.15" customHeight="1" x14ac:dyDescent="0.15">
      <c r="A66" s="1">
        <v>304.63</v>
      </c>
      <c r="B66" s="26" t="s">
        <v>25</v>
      </c>
      <c r="C66" s="26" t="s">
        <v>90</v>
      </c>
    </row>
    <row r="67" spans="1:3" ht="25.15" customHeight="1" x14ac:dyDescent="0.15">
      <c r="A67" s="1">
        <v>4355.5</v>
      </c>
      <c r="B67" s="26" t="s">
        <v>25</v>
      </c>
      <c r="C67" s="26" t="s">
        <v>100</v>
      </c>
    </row>
    <row r="68" spans="1:3" ht="25.15" customHeight="1" x14ac:dyDescent="0.15">
      <c r="A68" s="1">
        <v>-180</v>
      </c>
      <c r="B68" s="26" t="s">
        <v>25</v>
      </c>
      <c r="C68" s="26" t="s">
        <v>101</v>
      </c>
    </row>
    <row r="69" spans="1:3" ht="25.15" customHeight="1" x14ac:dyDescent="0.15">
      <c r="A69" s="1">
        <v>350</v>
      </c>
      <c r="B69" s="26" t="s">
        <v>25</v>
      </c>
      <c r="C69" s="26" t="s">
        <v>102</v>
      </c>
    </row>
    <row r="70" spans="1:3" ht="25.15" customHeight="1" x14ac:dyDescent="0.15">
      <c r="A70" s="1">
        <v>224</v>
      </c>
      <c r="B70" s="26" t="s">
        <v>25</v>
      </c>
      <c r="C70" s="26" t="s">
        <v>103</v>
      </c>
    </row>
    <row r="71" spans="1:3" ht="25.15" customHeight="1" x14ac:dyDescent="0.15">
      <c r="A71" s="1">
        <v>177</v>
      </c>
      <c r="B71" s="26" t="s">
        <v>25</v>
      </c>
      <c r="C71" s="26" t="s">
        <v>104</v>
      </c>
    </row>
    <row r="72" spans="1:3" ht="25.15" customHeight="1" x14ac:dyDescent="0.15">
      <c r="A72" s="1">
        <v>112.2</v>
      </c>
      <c r="B72" s="26" t="s">
        <v>25</v>
      </c>
      <c r="C72" s="26" t="s">
        <v>105</v>
      </c>
    </row>
    <row r="73" spans="1:3" ht="25.15" customHeight="1" x14ac:dyDescent="0.15">
      <c r="A73" s="1">
        <v>-896</v>
      </c>
      <c r="B73" s="26" t="s">
        <v>25</v>
      </c>
      <c r="C73" s="26" t="s">
        <v>106</v>
      </c>
    </row>
    <row r="74" spans="1:3" ht="25.15" customHeight="1" x14ac:dyDescent="0.15">
      <c r="A74" s="1">
        <v>1188</v>
      </c>
      <c r="B74" s="26" t="s">
        <v>25</v>
      </c>
      <c r="C74" s="26" t="s">
        <v>107</v>
      </c>
    </row>
    <row r="75" spans="1:3" ht="25.15" customHeight="1" x14ac:dyDescent="0.15">
      <c r="A75" s="1">
        <v>2500</v>
      </c>
      <c r="B75" s="26" t="s">
        <v>25</v>
      </c>
      <c r="C75" s="26" t="s">
        <v>108</v>
      </c>
    </row>
    <row r="76" spans="1:3" ht="25.15" customHeight="1" x14ac:dyDescent="0.15">
      <c r="A76" s="1">
        <v>299</v>
      </c>
      <c r="B76" s="26" t="s">
        <v>14</v>
      </c>
      <c r="C76" s="26" t="s">
        <v>109</v>
      </c>
    </row>
    <row r="77" spans="1:3" ht="25.15" customHeight="1" x14ac:dyDescent="0.15">
      <c r="A77" s="1">
        <v>-433</v>
      </c>
      <c r="B77" s="26" t="s">
        <v>25</v>
      </c>
      <c r="C77" s="26" t="s">
        <v>110</v>
      </c>
    </row>
    <row r="78" spans="1:3" ht="25.15" customHeight="1" x14ac:dyDescent="0.15">
      <c r="A78" s="1">
        <v>50</v>
      </c>
      <c r="B78" s="26" t="s">
        <v>32</v>
      </c>
      <c r="C78" s="26" t="s">
        <v>111</v>
      </c>
    </row>
    <row r="79" spans="1:3" ht="25.15" customHeight="1" x14ac:dyDescent="0.15">
      <c r="A79" s="1">
        <v>601.91999999999996</v>
      </c>
      <c r="B79" s="26" t="s">
        <v>25</v>
      </c>
      <c r="C79" s="26" t="s">
        <v>112</v>
      </c>
    </row>
    <row r="80" spans="1:3" ht="25.15" customHeight="1" x14ac:dyDescent="0.15">
      <c r="A80" s="1">
        <v>390</v>
      </c>
      <c r="B80" s="26" t="s">
        <v>25</v>
      </c>
      <c r="C80" s="26" t="s">
        <v>113</v>
      </c>
    </row>
    <row r="81" spans="1:3" ht="25.15" customHeight="1" x14ac:dyDescent="0.15">
      <c r="A81" s="1">
        <v>300</v>
      </c>
      <c r="B81" s="26" t="s">
        <v>14</v>
      </c>
      <c r="C81" s="26" t="s">
        <v>114</v>
      </c>
    </row>
    <row r="82" spans="1:3" ht="25.15" customHeight="1" x14ac:dyDescent="0.15">
      <c r="A82" s="1">
        <v>125.1</v>
      </c>
      <c r="B82" s="26" t="s">
        <v>25</v>
      </c>
      <c r="C82" s="26" t="s">
        <v>115</v>
      </c>
    </row>
    <row r="83" spans="1:3" ht="25.15" customHeight="1" x14ac:dyDescent="0.15">
      <c r="A83" s="1">
        <v>170</v>
      </c>
      <c r="B83" s="26" t="s">
        <v>25</v>
      </c>
      <c r="C83" s="26" t="s">
        <v>116</v>
      </c>
    </row>
    <row r="84" spans="1:3" ht="25.15" customHeight="1" x14ac:dyDescent="0.15">
      <c r="A84" s="1">
        <v>198</v>
      </c>
      <c r="B84" s="26" t="s">
        <v>25</v>
      </c>
      <c r="C84" s="26" t="s">
        <v>95</v>
      </c>
    </row>
    <row r="85" spans="1:3" ht="25.15" customHeight="1" x14ac:dyDescent="0.15">
      <c r="A85" s="1">
        <v>308</v>
      </c>
      <c r="B85" s="26" t="s">
        <v>25</v>
      </c>
      <c r="C85" s="26" t="s">
        <v>117</v>
      </c>
    </row>
    <row r="86" spans="1:3" ht="25.15" customHeight="1" x14ac:dyDescent="0.15">
      <c r="A86" s="1">
        <v>7560</v>
      </c>
      <c r="B86" s="26" t="s">
        <v>25</v>
      </c>
      <c r="C86" s="26" t="s">
        <v>118</v>
      </c>
    </row>
    <row r="87" spans="1:3" ht="25.15" customHeight="1" x14ac:dyDescent="0.15">
      <c r="A87" s="1">
        <v>500</v>
      </c>
      <c r="B87" s="26" t="s">
        <v>25</v>
      </c>
      <c r="C87" s="26" t="s">
        <v>26</v>
      </c>
    </row>
    <row r="88" spans="1:3" ht="25.15" customHeight="1" x14ac:dyDescent="0.15">
      <c r="A88" s="1">
        <v>195</v>
      </c>
      <c r="B88" s="26" t="s">
        <v>25</v>
      </c>
      <c r="C88" s="26" t="s">
        <v>119</v>
      </c>
    </row>
    <row r="89" spans="1:3" ht="25.15" customHeight="1" x14ac:dyDescent="0.15">
      <c r="A89" s="1">
        <v>33.9</v>
      </c>
      <c r="B89" s="26" t="s">
        <v>14</v>
      </c>
      <c r="C89" s="26" t="s">
        <v>120</v>
      </c>
    </row>
    <row r="90" spans="1:3" ht="25.15" customHeight="1" x14ac:dyDescent="0.15">
      <c r="A90" s="1">
        <v>1410</v>
      </c>
      <c r="B90" s="26" t="s">
        <v>25</v>
      </c>
      <c r="C90" s="26" t="s">
        <v>121</v>
      </c>
    </row>
    <row r="91" spans="1:3" ht="25.15" customHeight="1" x14ac:dyDescent="0.15">
      <c r="A91" s="1">
        <v>81.650000000000006</v>
      </c>
      <c r="B91" s="26" t="s">
        <v>14</v>
      </c>
      <c r="C91" s="26" t="s">
        <v>122</v>
      </c>
    </row>
    <row r="92" spans="1:3" ht="25.15" customHeight="1" x14ac:dyDescent="0.15">
      <c r="A92" s="1">
        <v>551.91999999999996</v>
      </c>
      <c r="B92" s="26" t="s">
        <v>25</v>
      </c>
      <c r="C92" s="26" t="s">
        <v>36</v>
      </c>
    </row>
    <row r="93" spans="1:3" ht="25.15" customHeight="1" x14ac:dyDescent="0.15">
      <c r="A93" s="1">
        <v>246</v>
      </c>
      <c r="B93" s="26" t="s">
        <v>25</v>
      </c>
      <c r="C93" s="26" t="s">
        <v>123</v>
      </c>
    </row>
    <row r="94" spans="1:3" ht="25.15" customHeight="1" x14ac:dyDescent="0.15">
      <c r="A94" s="1">
        <v>244.6</v>
      </c>
      <c r="B94" s="26" t="s">
        <v>25</v>
      </c>
      <c r="C94" s="26" t="s">
        <v>124</v>
      </c>
    </row>
    <row r="95" spans="1:3" ht="25.15" customHeight="1" x14ac:dyDescent="0.15">
      <c r="A95" s="1">
        <v>500</v>
      </c>
      <c r="B95" s="26" t="s">
        <v>25</v>
      </c>
      <c r="C95" s="26" t="s">
        <v>26</v>
      </c>
    </row>
    <row r="96" spans="1:3" ht="25.15" customHeight="1" x14ac:dyDescent="0.15">
      <c r="A96" s="1">
        <v>480</v>
      </c>
      <c r="B96" s="26" t="s">
        <v>25</v>
      </c>
      <c r="C96" s="26" t="s">
        <v>125</v>
      </c>
    </row>
    <row r="97" spans="1:3" ht="25.15" customHeight="1" x14ac:dyDescent="0.15">
      <c r="A97" s="1">
        <v>120</v>
      </c>
      <c r="B97" s="26" t="s">
        <v>25</v>
      </c>
      <c r="C97" s="26" t="s">
        <v>126</v>
      </c>
    </row>
    <row r="98" spans="1:3" ht="25.15" customHeight="1" x14ac:dyDescent="0.15">
      <c r="A98" s="1">
        <v>2555</v>
      </c>
      <c r="B98" s="26" t="s">
        <v>25</v>
      </c>
      <c r="C98" s="26" t="s">
        <v>127</v>
      </c>
    </row>
    <row r="99" spans="1:3" ht="25.15" customHeight="1" x14ac:dyDescent="0.15">
      <c r="A99" s="1">
        <v>106</v>
      </c>
      <c r="B99" s="26" t="s">
        <v>25</v>
      </c>
      <c r="C99" s="26" t="s">
        <v>128</v>
      </c>
    </row>
    <row r="100" spans="1:3" ht="25.15" customHeight="1" x14ac:dyDescent="0.15">
      <c r="A100" s="1">
        <v>22.8</v>
      </c>
      <c r="B100" s="26" t="s">
        <v>14</v>
      </c>
      <c r="C100" s="26" t="s">
        <v>129</v>
      </c>
    </row>
    <row r="101" spans="1:3" ht="25.15" customHeight="1" x14ac:dyDescent="0.15">
      <c r="A101" s="1">
        <v>390</v>
      </c>
      <c r="B101" s="26" t="s">
        <v>25</v>
      </c>
      <c r="C101" s="26" t="s">
        <v>130</v>
      </c>
    </row>
    <row r="102" spans="1:3" ht="25.15" customHeight="1" x14ac:dyDescent="0.15">
      <c r="A102" s="1">
        <v>246</v>
      </c>
      <c r="B102" s="26" t="s">
        <v>25</v>
      </c>
      <c r="C102" s="26" t="s">
        <v>123</v>
      </c>
    </row>
    <row r="103" spans="1:3" ht="25.15" customHeight="1" x14ac:dyDescent="0.15">
      <c r="A103" s="1">
        <v>130</v>
      </c>
      <c r="B103" s="26" t="s">
        <v>14</v>
      </c>
      <c r="C103" s="26" t="s">
        <v>131</v>
      </c>
    </row>
    <row r="104" spans="1:3" ht="25.15" customHeight="1" x14ac:dyDescent="0.15">
      <c r="A104" s="1">
        <v>96</v>
      </c>
      <c r="B104" s="26" t="s">
        <v>25</v>
      </c>
      <c r="C104" s="26" t="s">
        <v>132</v>
      </c>
    </row>
    <row r="105" spans="1:3" ht="25.15" customHeight="1" x14ac:dyDescent="0.15">
      <c r="A105" s="1">
        <v>104.36</v>
      </c>
      <c r="B105" s="26" t="s">
        <v>25</v>
      </c>
      <c r="C105" s="26" t="s">
        <v>133</v>
      </c>
    </row>
    <row r="106" spans="1:3" ht="25.15" customHeight="1" x14ac:dyDescent="0.15">
      <c r="A106" s="1">
        <v>-149</v>
      </c>
      <c r="B106" s="2" t="s">
        <v>14</v>
      </c>
      <c r="C106" s="2" t="s">
        <v>134</v>
      </c>
    </row>
  </sheetData>
  <mergeCells count="4">
    <mergeCell ref="A1:C1"/>
    <mergeCell ref="A11:C11"/>
    <mergeCell ref="A21:C21"/>
    <mergeCell ref="A22:C22"/>
  </mergeCells>
  <phoneticPr fontId="7" type="noConversion"/>
  <dataValidations count="1">
    <dataValidation type="list" allowBlank="1" showInputMessage="1" showErrorMessage="1" sqref="B4 B41 B106 B2:B3 B5:B9 B11:B19 B21:B31 B42:B105" xr:uid="{00000000-0002-0000-0200-000000000000}">
      <formula1>"房租,其他,食材,推广,水电,工资"</formula1>
    </dataValidation>
  </dataValidations>
  <pageMargins left="0.7" right="0.7" top="0.75" bottom="0.75" header="0.3" footer="0.3"/>
  <pageSetup paperSize="9" orientation="portrait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C70"/>
  <sheetViews>
    <sheetView workbookViewId="0">
      <selection activeCell="D15" sqref="D15"/>
    </sheetView>
  </sheetViews>
  <sheetFormatPr defaultColWidth="30.625" defaultRowHeight="25.15" customHeight="1" x14ac:dyDescent="0.15"/>
  <cols>
    <col min="1" max="1" width="30.625" style="31" customWidth="1"/>
    <col min="2" max="2" width="30.625" style="2" customWidth="1"/>
    <col min="3" max="16384" width="30.625" style="2"/>
  </cols>
  <sheetData>
    <row r="1" spans="1:3" ht="25.15" customHeight="1" x14ac:dyDescent="0.15">
      <c r="A1" s="76" t="s">
        <v>44</v>
      </c>
      <c r="B1" s="70"/>
      <c r="C1" s="70"/>
    </row>
    <row r="2" spans="1:3" ht="25.15" customHeight="1" x14ac:dyDescent="0.15">
      <c r="A2" s="5" t="s">
        <v>45</v>
      </c>
      <c r="B2" s="5" t="s">
        <v>46</v>
      </c>
      <c r="C2" s="5" t="s">
        <v>47</v>
      </c>
    </row>
    <row r="3" spans="1:3" ht="25.15" customHeight="1" x14ac:dyDescent="0.15">
      <c r="A3" s="8" t="s">
        <v>48</v>
      </c>
      <c r="B3" s="7">
        <f>SUM(收入明细2604[收入明细])</f>
        <v>50447.48</v>
      </c>
      <c r="C3" s="8" t="s">
        <v>49</v>
      </c>
    </row>
    <row r="4" spans="1:3" ht="25.15" customHeight="1" x14ac:dyDescent="0.15">
      <c r="A4" s="11" t="s">
        <v>50</v>
      </c>
      <c r="B4" s="10">
        <f>SUM(支出明细2604[支出明细])</f>
        <v>49908.93</v>
      </c>
      <c r="C4" s="11" t="s">
        <v>49</v>
      </c>
    </row>
    <row r="5" spans="1:3" ht="25.15" customHeight="1" x14ac:dyDescent="0.15">
      <c r="A5" s="14" t="s">
        <v>51</v>
      </c>
      <c r="B5" s="13">
        <f>$B$3-SUMIF(支出明细2604[分类],"食材",支出明细2604[支出明细])</f>
        <v>22617.630000000005</v>
      </c>
      <c r="C5" s="14" t="s">
        <v>49</v>
      </c>
    </row>
    <row r="6" spans="1:3" ht="25.15" customHeight="1" x14ac:dyDescent="0.15">
      <c r="A6" s="14" t="s">
        <v>52</v>
      </c>
      <c r="B6" s="13">
        <f>$B$3-$B$4</f>
        <v>538.55000000000291</v>
      </c>
      <c r="C6" s="14" t="s">
        <v>49</v>
      </c>
    </row>
    <row r="7" spans="1:3" ht="25.15" customHeight="1" x14ac:dyDescent="0.15">
      <c r="A7" s="14" t="s">
        <v>53</v>
      </c>
      <c r="B7" s="15">
        <f>$B$5/$B$3</f>
        <v>0.44834013512667042</v>
      </c>
      <c r="C7" s="14" t="s">
        <v>54</v>
      </c>
    </row>
    <row r="8" spans="1:3" ht="25.15" customHeight="1" x14ac:dyDescent="0.15">
      <c r="A8" s="14" t="s">
        <v>55</v>
      </c>
      <c r="B8" s="15">
        <f>$B$6/$B$3</f>
        <v>1.0675458912913051E-2</v>
      </c>
      <c r="C8" s="14" t="s">
        <v>54</v>
      </c>
    </row>
    <row r="9" spans="1:3" ht="25.15" customHeight="1" x14ac:dyDescent="0.15">
      <c r="A9" s="32"/>
      <c r="B9" s="3"/>
      <c r="C9" s="3"/>
    </row>
    <row r="10" spans="1:3" ht="25.15" customHeight="1" x14ac:dyDescent="0.15">
      <c r="A10" s="32"/>
      <c r="B10" s="3"/>
      <c r="C10" s="3"/>
    </row>
    <row r="11" spans="1:3" ht="25.15" customHeight="1" x14ac:dyDescent="0.15">
      <c r="A11" s="77" t="s">
        <v>56</v>
      </c>
      <c r="B11" s="70"/>
      <c r="C11" s="70"/>
    </row>
    <row r="12" spans="1:3" ht="25.15" customHeight="1" x14ac:dyDescent="0.15">
      <c r="A12" s="17" t="s">
        <v>57</v>
      </c>
      <c r="B12" s="17" t="s">
        <v>58</v>
      </c>
      <c r="C12" s="17" t="s">
        <v>59</v>
      </c>
    </row>
    <row r="13" spans="1:3" ht="25.15" customHeight="1" x14ac:dyDescent="0.15">
      <c r="A13" s="14" t="s">
        <v>60</v>
      </c>
      <c r="B13" s="13">
        <f>SUMIF(收入明细2604[分类],"淘宝外卖",收入明细2604[收入明细])</f>
        <v>15710.8</v>
      </c>
      <c r="C13" s="15">
        <f>$B$13/$B$3</f>
        <v>0.31142883648499387</v>
      </c>
    </row>
    <row r="14" spans="1:3" ht="25.15" customHeight="1" x14ac:dyDescent="0.15">
      <c r="A14" s="14" t="s">
        <v>61</v>
      </c>
      <c r="B14" s="13">
        <f>SUMIF(收入明细2604[分类],"美团外卖",收入明细2604[收入明细])</f>
        <v>18407.68</v>
      </c>
      <c r="C14" s="15">
        <f>$B$14/$B$3</f>
        <v>0.36488799836978969</v>
      </c>
    </row>
    <row r="15" spans="1:3" ht="25.15" customHeight="1" x14ac:dyDescent="0.15">
      <c r="A15" s="14" t="s">
        <v>62</v>
      </c>
      <c r="B15" s="13">
        <f>SUMIF(收入明细2604[分类],"微信堂食",收入明细2604[收入明细])</f>
        <v>7976.67</v>
      </c>
      <c r="C15" s="15">
        <f>$B$15/$B$3</f>
        <v>0.15811830442273825</v>
      </c>
    </row>
    <row r="16" spans="1:3" ht="25.15" customHeight="1" x14ac:dyDescent="0.15">
      <c r="A16" s="14" t="s">
        <v>63</v>
      </c>
      <c r="B16" s="13">
        <f>SUMIF(收入明细2604[分类],"支付宝堂食",收入明细2604[收入明细])</f>
        <v>2226.4299999999998</v>
      </c>
      <c r="C16" s="15">
        <f>$B$16/$B$3</f>
        <v>4.4133621738885666E-2</v>
      </c>
    </row>
    <row r="17" spans="1:3" ht="25.15" customHeight="1" x14ac:dyDescent="0.15">
      <c r="A17" s="14" t="s">
        <v>64</v>
      </c>
      <c r="B17" s="13">
        <f>SUMIF(收入明细2604[分类],"京东外卖",收入明细2604[收入明细])</f>
        <v>6108.35</v>
      </c>
      <c r="C17" s="15">
        <f>$B$17/$B$3</f>
        <v>0.12108335242910052</v>
      </c>
    </row>
    <row r="18" spans="1:3" ht="25.15" customHeight="1" x14ac:dyDescent="0.15">
      <c r="A18" s="14" t="s">
        <v>135</v>
      </c>
      <c r="B18" s="13">
        <f>SUMIF(收入明细2604[分类],"抖音来客",收入明细2604[收入明细])</f>
        <v>17.55</v>
      </c>
      <c r="C18" s="15">
        <f>$B$18/$B$3</f>
        <v>3.4788655449191912E-4</v>
      </c>
    </row>
    <row r="19" spans="1:3" ht="25.15" customHeight="1" x14ac:dyDescent="0.15">
      <c r="A19" s="33" t="s">
        <v>65</v>
      </c>
      <c r="B19" s="19">
        <f>SUM(B13:B18)</f>
        <v>50447.479999999996</v>
      </c>
      <c r="C19" s="20">
        <f>SUM($C$13:$C$18)</f>
        <v>0.99999999999999989</v>
      </c>
    </row>
    <row r="20" spans="1:3" customFormat="1" ht="25.15" customHeight="1" x14ac:dyDescent="0.15"/>
    <row r="21" spans="1:3" customFormat="1" ht="25.15" customHeight="1" x14ac:dyDescent="0.15"/>
    <row r="22" spans="1:3" ht="25.15" customHeight="1" x14ac:dyDescent="0.15">
      <c r="A22" s="78" t="s">
        <v>66</v>
      </c>
      <c r="B22" s="78"/>
      <c r="C22" s="78"/>
    </row>
    <row r="23" spans="1:3" ht="25.15" customHeight="1" x14ac:dyDescent="0.15">
      <c r="A23" s="79" t="s">
        <v>67</v>
      </c>
      <c r="B23" s="80"/>
      <c r="C23" s="81"/>
    </row>
    <row r="24" spans="1:3" ht="25.15" customHeight="1" x14ac:dyDescent="0.15">
      <c r="A24" s="14" t="s">
        <v>25</v>
      </c>
      <c r="B24" s="13">
        <f>SUMIF(支出明细2604[分类],"食材",支出明细2604[支出明细])</f>
        <v>27829.85</v>
      </c>
      <c r="C24" s="15">
        <f>$B$24/$B$4</f>
        <v>0.55761263565458119</v>
      </c>
    </row>
    <row r="25" spans="1:3" ht="25.15" customHeight="1" x14ac:dyDescent="0.15">
      <c r="A25" s="14" t="s">
        <v>68</v>
      </c>
      <c r="B25" s="13">
        <f>SUMIF(支出明细2604[分类],"工资",支出明细2604[支出明细])</f>
        <v>12000</v>
      </c>
      <c r="C25" s="15">
        <f>$B$25/$B$4</f>
        <v>0.24043793365235439</v>
      </c>
    </row>
    <row r="26" spans="1:3" ht="25.15" customHeight="1" x14ac:dyDescent="0.15">
      <c r="A26" s="14" t="s">
        <v>6</v>
      </c>
      <c r="B26" s="13">
        <f>SUMIF(支出明细2604[分类],"房租",支出明细2604[支出明细])</f>
        <v>4333</v>
      </c>
      <c r="C26" s="15">
        <f>$B$26/$B$4</f>
        <v>8.6818130542970967E-2</v>
      </c>
    </row>
    <row r="27" spans="1:3" ht="25.15" customHeight="1" x14ac:dyDescent="0.15">
      <c r="A27" s="14" t="s">
        <v>32</v>
      </c>
      <c r="B27" s="13">
        <f>SUMIF(支出明细2604[分类],"推广",支出明细2604[支出明细])</f>
        <v>0</v>
      </c>
      <c r="C27" s="15">
        <f>$B$27/$B$4</f>
        <v>0</v>
      </c>
    </row>
    <row r="28" spans="1:3" ht="25.15" customHeight="1" x14ac:dyDescent="0.15">
      <c r="A28" s="14" t="s">
        <v>37</v>
      </c>
      <c r="B28" s="13">
        <f>SUMIF(支出明细2604[分类],"水电",支出明细2604[支出明细])</f>
        <v>3355</v>
      </c>
      <c r="C28" s="15">
        <f>$B$28/$B$4</f>
        <v>6.7222438950304081E-2</v>
      </c>
    </row>
    <row r="29" spans="1:3" ht="25.15" customHeight="1" x14ac:dyDescent="0.15">
      <c r="A29" s="14" t="s">
        <v>14</v>
      </c>
      <c r="B29" s="13">
        <f>SUMIF(支出明细2604[分类],"其他",支出明细2604[支出明细])</f>
        <v>2391.08</v>
      </c>
      <c r="C29" s="15">
        <f>$B$29/$B$4</f>
        <v>4.7908861199789293E-2</v>
      </c>
    </row>
    <row r="30" spans="1:3" ht="25.15" customHeight="1" x14ac:dyDescent="0.15">
      <c r="A30" s="34" t="s">
        <v>65</v>
      </c>
      <c r="B30" s="23">
        <f>SUM(B24:B29)</f>
        <v>49908.93</v>
      </c>
      <c r="C30" s="24">
        <f>SUM($C$24:$C$29)</f>
        <v>0.99999999999999989</v>
      </c>
    </row>
    <row r="33" spans="1:3" ht="25.15" customHeight="1" x14ac:dyDescent="0.15">
      <c r="A33" s="1" t="s">
        <v>69</v>
      </c>
      <c r="B33" s="25" t="s">
        <v>4</v>
      </c>
      <c r="C33" s="26" t="s">
        <v>5</v>
      </c>
    </row>
    <row r="34" spans="1:3" ht="25.15" customHeight="1" x14ac:dyDescent="0.15">
      <c r="A34" s="27">
        <v>7729.51</v>
      </c>
      <c r="B34" s="25" t="s">
        <v>62</v>
      </c>
      <c r="C34" s="26" t="s">
        <v>136</v>
      </c>
    </row>
    <row r="35" spans="1:3" ht="25.15" customHeight="1" x14ac:dyDescent="0.15">
      <c r="A35" s="27">
        <v>247.16</v>
      </c>
      <c r="B35" s="25" t="s">
        <v>62</v>
      </c>
      <c r="C35" s="26" t="s">
        <v>137</v>
      </c>
    </row>
    <row r="36" spans="1:3" ht="25.15" customHeight="1" x14ac:dyDescent="0.15">
      <c r="A36" s="27">
        <v>2226.4299999999998</v>
      </c>
      <c r="B36" s="25" t="s">
        <v>63</v>
      </c>
      <c r="C36" s="26"/>
    </row>
    <row r="37" spans="1:3" ht="25.15" customHeight="1" x14ac:dyDescent="0.15">
      <c r="A37" s="27">
        <v>6108.35</v>
      </c>
      <c r="B37" s="25" t="s">
        <v>64</v>
      </c>
      <c r="C37" s="26"/>
    </row>
    <row r="38" spans="1:3" ht="25.15" customHeight="1" x14ac:dyDescent="0.15">
      <c r="A38" s="27">
        <v>15710.8</v>
      </c>
      <c r="B38" s="25" t="s">
        <v>60</v>
      </c>
      <c r="C38" s="26"/>
    </row>
    <row r="39" spans="1:3" ht="25.15" customHeight="1" x14ac:dyDescent="0.15">
      <c r="A39" s="27">
        <v>18407.68</v>
      </c>
      <c r="B39" s="25" t="s">
        <v>61</v>
      </c>
      <c r="C39" s="26"/>
    </row>
    <row r="40" spans="1:3" ht="25.15" customHeight="1" x14ac:dyDescent="0.15">
      <c r="A40" s="1">
        <v>17.55</v>
      </c>
      <c r="B40" s="28" t="s">
        <v>135</v>
      </c>
      <c r="C40" s="29"/>
    </row>
    <row r="41" spans="1:3" ht="25.15" customHeight="1" x14ac:dyDescent="0.15">
      <c r="A41" s="1"/>
      <c r="B41" s="28"/>
      <c r="C41" s="29"/>
    </row>
    <row r="42" spans="1:3" ht="25.15" customHeight="1" x14ac:dyDescent="0.15">
      <c r="A42" s="1"/>
      <c r="B42" s="28"/>
      <c r="C42" s="30"/>
    </row>
    <row r="43" spans="1:3" ht="25.15" customHeight="1" x14ac:dyDescent="0.15">
      <c r="A43" s="1" t="s">
        <v>71</v>
      </c>
      <c r="B43" s="26" t="s">
        <v>4</v>
      </c>
      <c r="C43" s="26" t="s">
        <v>5</v>
      </c>
    </row>
    <row r="44" spans="1:3" ht="25.15" customHeight="1" x14ac:dyDescent="0.15">
      <c r="A44" s="1">
        <v>4333</v>
      </c>
      <c r="B44" s="26" t="s">
        <v>6</v>
      </c>
      <c r="C44" s="26" t="s">
        <v>72</v>
      </c>
    </row>
    <row r="45" spans="1:3" ht="25.15" customHeight="1" x14ac:dyDescent="0.15">
      <c r="A45" s="1">
        <v>12000</v>
      </c>
      <c r="B45" s="26" t="s">
        <v>68</v>
      </c>
      <c r="C45" s="26" t="s">
        <v>68</v>
      </c>
    </row>
    <row r="46" spans="1:3" ht="25.15" customHeight="1" x14ac:dyDescent="0.15">
      <c r="A46" s="1">
        <v>3355</v>
      </c>
      <c r="B46" s="26" t="s">
        <v>37</v>
      </c>
      <c r="C46" s="26" t="s">
        <v>37</v>
      </c>
    </row>
    <row r="47" spans="1:3" ht="25.15" customHeight="1" x14ac:dyDescent="0.15">
      <c r="A47" s="1">
        <v>4000</v>
      </c>
      <c r="B47" s="26" t="s">
        <v>25</v>
      </c>
      <c r="C47" s="26" t="s">
        <v>138</v>
      </c>
    </row>
    <row r="48" spans="1:3" ht="25.15" customHeight="1" x14ac:dyDescent="0.15">
      <c r="A48" s="1">
        <v>397.58</v>
      </c>
      <c r="B48" s="25" t="s">
        <v>25</v>
      </c>
      <c r="C48" s="26" t="s">
        <v>139</v>
      </c>
    </row>
    <row r="49" spans="1:3" ht="25.15" customHeight="1" x14ac:dyDescent="0.15">
      <c r="A49" s="1">
        <v>2521.87</v>
      </c>
      <c r="B49" s="25" t="s">
        <v>25</v>
      </c>
      <c r="C49" s="26" t="s">
        <v>140</v>
      </c>
    </row>
    <row r="50" spans="1:3" ht="25.15" customHeight="1" x14ac:dyDescent="0.15">
      <c r="A50" s="1">
        <v>601.91999999999996</v>
      </c>
      <c r="B50" s="2" t="s">
        <v>25</v>
      </c>
      <c r="C50" s="2" t="s">
        <v>112</v>
      </c>
    </row>
    <row r="51" spans="1:3" ht="25.15" customHeight="1" x14ac:dyDescent="0.15">
      <c r="A51" s="1">
        <v>86.24</v>
      </c>
      <c r="B51" s="2" t="s">
        <v>25</v>
      </c>
      <c r="C51" s="2" t="s">
        <v>141</v>
      </c>
    </row>
    <row r="52" spans="1:3" ht="25.15" customHeight="1" x14ac:dyDescent="0.15">
      <c r="A52" s="1">
        <v>83.64</v>
      </c>
      <c r="B52" s="2" t="s">
        <v>25</v>
      </c>
      <c r="C52" s="2" t="s">
        <v>142</v>
      </c>
    </row>
    <row r="53" spans="1:3" ht="25.15" customHeight="1" x14ac:dyDescent="0.15">
      <c r="A53" s="1">
        <v>280</v>
      </c>
      <c r="B53" s="2" t="s">
        <v>25</v>
      </c>
      <c r="C53" s="2" t="s">
        <v>143</v>
      </c>
    </row>
    <row r="54" spans="1:3" ht="25.15" customHeight="1" x14ac:dyDescent="0.15">
      <c r="A54" s="1">
        <v>50</v>
      </c>
      <c r="B54" s="2" t="s">
        <v>14</v>
      </c>
      <c r="C54" s="2" t="s">
        <v>144</v>
      </c>
    </row>
    <row r="55" spans="1:3" ht="25.15" customHeight="1" x14ac:dyDescent="0.15">
      <c r="A55" s="1">
        <v>618</v>
      </c>
      <c r="B55" s="2" t="s">
        <v>25</v>
      </c>
      <c r="C55" s="2" t="s">
        <v>145</v>
      </c>
    </row>
    <row r="56" spans="1:3" ht="25.15" customHeight="1" x14ac:dyDescent="0.15">
      <c r="A56" s="1">
        <v>8092</v>
      </c>
      <c r="B56" s="2" t="s">
        <v>25</v>
      </c>
      <c r="C56" s="2" t="s">
        <v>146</v>
      </c>
    </row>
    <row r="57" spans="1:3" ht="25.15" customHeight="1" x14ac:dyDescent="0.15">
      <c r="A57" s="1">
        <v>1379</v>
      </c>
      <c r="B57" s="2" t="s">
        <v>25</v>
      </c>
      <c r="C57" s="2" t="s">
        <v>147</v>
      </c>
    </row>
    <row r="58" spans="1:3" ht="25.15" customHeight="1" x14ac:dyDescent="0.15">
      <c r="A58" s="1">
        <v>150</v>
      </c>
      <c r="B58" s="2" t="s">
        <v>14</v>
      </c>
      <c r="C58" s="2" t="s">
        <v>148</v>
      </c>
    </row>
    <row r="59" spans="1:3" ht="25.15" customHeight="1" x14ac:dyDescent="0.15">
      <c r="A59" s="1">
        <v>700</v>
      </c>
      <c r="B59" s="2" t="s">
        <v>14</v>
      </c>
      <c r="C59" s="2" t="s">
        <v>149</v>
      </c>
    </row>
    <row r="60" spans="1:3" ht="25.15" customHeight="1" x14ac:dyDescent="0.15">
      <c r="A60" s="1">
        <v>350</v>
      </c>
      <c r="B60" s="2" t="s">
        <v>25</v>
      </c>
      <c r="C60" s="2" t="s">
        <v>150</v>
      </c>
    </row>
    <row r="61" spans="1:3" ht="25.15" customHeight="1" x14ac:dyDescent="0.15">
      <c r="A61" s="1">
        <v>381</v>
      </c>
      <c r="B61" s="2" t="s">
        <v>25</v>
      </c>
      <c r="C61" s="2" t="s">
        <v>151</v>
      </c>
    </row>
    <row r="62" spans="1:3" ht="25.15" customHeight="1" x14ac:dyDescent="0.15">
      <c r="A62" s="1">
        <v>16.079999999999998</v>
      </c>
      <c r="B62" s="2" t="s">
        <v>14</v>
      </c>
      <c r="C62" s="2" t="s">
        <v>152</v>
      </c>
    </row>
    <row r="63" spans="1:3" ht="25.15" customHeight="1" x14ac:dyDescent="0.15">
      <c r="A63" s="1">
        <v>396</v>
      </c>
      <c r="B63" s="2" t="s">
        <v>25</v>
      </c>
      <c r="C63" s="2" t="s">
        <v>153</v>
      </c>
    </row>
    <row r="64" spans="1:3" ht="25.15" customHeight="1" x14ac:dyDescent="0.15">
      <c r="A64" s="1">
        <v>602</v>
      </c>
      <c r="B64" s="2" t="s">
        <v>25</v>
      </c>
      <c r="C64" s="2" t="s">
        <v>112</v>
      </c>
    </row>
    <row r="65" spans="1:3" ht="25.15" customHeight="1" x14ac:dyDescent="0.15">
      <c r="A65" s="1">
        <v>200</v>
      </c>
      <c r="B65" s="2" t="s">
        <v>14</v>
      </c>
      <c r="C65" s="2" t="s">
        <v>154</v>
      </c>
    </row>
    <row r="66" spans="1:3" ht="25.15" customHeight="1" x14ac:dyDescent="0.15">
      <c r="A66" s="1">
        <v>80</v>
      </c>
      <c r="B66" s="2" t="s">
        <v>25</v>
      </c>
      <c r="C66" s="2" t="s">
        <v>155</v>
      </c>
    </row>
    <row r="67" spans="1:3" ht="25.15" customHeight="1" x14ac:dyDescent="0.15">
      <c r="A67" s="1">
        <v>912</v>
      </c>
      <c r="B67" s="2" t="s">
        <v>25</v>
      </c>
      <c r="C67" s="2" t="s">
        <v>156</v>
      </c>
    </row>
    <row r="68" spans="1:3" ht="25.15" customHeight="1" x14ac:dyDescent="0.15">
      <c r="A68" s="1">
        <v>6783</v>
      </c>
      <c r="B68" s="2" t="s">
        <v>25</v>
      </c>
      <c r="C68" s="2" t="s">
        <v>157</v>
      </c>
    </row>
    <row r="69" spans="1:3" ht="25.15" customHeight="1" x14ac:dyDescent="0.15">
      <c r="A69" s="1">
        <v>265.60000000000002</v>
      </c>
      <c r="B69" s="2" t="s">
        <v>25</v>
      </c>
      <c r="C69" s="2" t="s">
        <v>158</v>
      </c>
    </row>
    <row r="70" spans="1:3" ht="25.15" customHeight="1" x14ac:dyDescent="0.15">
      <c r="A70" s="1">
        <v>1275</v>
      </c>
      <c r="B70" s="2" t="s">
        <v>14</v>
      </c>
      <c r="C70" s="2" t="s">
        <v>159</v>
      </c>
    </row>
  </sheetData>
  <mergeCells count="4">
    <mergeCell ref="A1:C1"/>
    <mergeCell ref="A11:C11"/>
    <mergeCell ref="A22:C22"/>
    <mergeCell ref="A23:C23"/>
  </mergeCells>
  <phoneticPr fontId="7" type="noConversion"/>
  <dataValidations count="1">
    <dataValidation type="list" allowBlank="1" showInputMessage="1" showErrorMessage="1" sqref="B2:B7 B44:B70" xr:uid="{00000000-0002-0000-0300-000000000000}">
      <formula1>"房租,其他,食材,推广,水电,工资"</formula1>
    </dataValidation>
  </dataValidations>
  <pageMargins left="0.7" right="0.7" top="0.75" bottom="0.75" header="0.3" footer="0.3"/>
  <pageSetup paperSize="9" orientation="portrait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C70"/>
  <sheetViews>
    <sheetView workbookViewId="0">
      <selection activeCell="B19" sqref="B19"/>
    </sheetView>
  </sheetViews>
  <sheetFormatPr defaultColWidth="30.625" defaultRowHeight="25.15" customHeight="1" x14ac:dyDescent="0.15"/>
  <cols>
    <col min="1" max="1" width="30.625" style="31" customWidth="1"/>
    <col min="2" max="2" width="30.625" style="2" customWidth="1"/>
    <col min="3" max="16384" width="30.625" style="2"/>
  </cols>
  <sheetData>
    <row r="1" spans="1:3" ht="25.15" customHeight="1" x14ac:dyDescent="0.15">
      <c r="A1" s="76" t="s">
        <v>44</v>
      </c>
      <c r="B1" s="70"/>
      <c r="C1" s="70"/>
    </row>
    <row r="2" spans="1:3" ht="25.15" customHeight="1" x14ac:dyDescent="0.15">
      <c r="A2" s="5" t="s">
        <v>45</v>
      </c>
      <c r="B2" s="5" t="s">
        <v>46</v>
      </c>
      <c r="C2" s="5" t="s">
        <v>47</v>
      </c>
    </row>
    <row r="3" spans="1:3" ht="25.15" customHeight="1" x14ac:dyDescent="0.15">
      <c r="A3" s="8" t="s">
        <v>48</v>
      </c>
      <c r="B3" s="7">
        <f>SUM(收入明细260410[收入明细])</f>
        <v>41045.58</v>
      </c>
      <c r="C3" s="8" t="s">
        <v>49</v>
      </c>
    </row>
    <row r="4" spans="1:3" ht="25.15" customHeight="1" x14ac:dyDescent="0.15">
      <c r="A4" s="11" t="s">
        <v>50</v>
      </c>
      <c r="B4" s="10">
        <f>SUM(支出明细26049[支出明细])</f>
        <v>39275.289999999994</v>
      </c>
      <c r="C4" s="11" t="s">
        <v>49</v>
      </c>
    </row>
    <row r="5" spans="1:3" ht="25.15" customHeight="1" x14ac:dyDescent="0.15">
      <c r="A5" s="14" t="s">
        <v>51</v>
      </c>
      <c r="B5" s="13">
        <f>$B$3-SUMIF(支出明细26049[分类],"食材",支出明细26049[支出明细])</f>
        <v>22365.660000000007</v>
      </c>
      <c r="C5" s="14" t="s">
        <v>49</v>
      </c>
    </row>
    <row r="6" spans="1:3" ht="25.15" customHeight="1" x14ac:dyDescent="0.15">
      <c r="A6" s="14" t="s">
        <v>52</v>
      </c>
      <c r="B6" s="13">
        <f>$B$3-$B$4</f>
        <v>1770.2900000000081</v>
      </c>
      <c r="C6" s="14" t="s">
        <v>49</v>
      </c>
    </row>
    <row r="7" spans="1:3" ht="25.15" customHeight="1" x14ac:dyDescent="0.15">
      <c r="A7" s="14" t="s">
        <v>53</v>
      </c>
      <c r="B7" s="15">
        <f>$B$5/$B$3</f>
        <v>0.54489813519506869</v>
      </c>
      <c r="C7" s="14" t="s">
        <v>54</v>
      </c>
    </row>
    <row r="8" spans="1:3" ht="25.15" customHeight="1" x14ac:dyDescent="0.15">
      <c r="A8" s="14" t="s">
        <v>55</v>
      </c>
      <c r="B8" s="15">
        <f>$B$6/$B$3</f>
        <v>4.3129857100326227E-2</v>
      </c>
      <c r="C8" s="14" t="s">
        <v>54</v>
      </c>
    </row>
    <row r="9" spans="1:3" ht="25.15" customHeight="1" x14ac:dyDescent="0.15">
      <c r="A9" s="32"/>
      <c r="B9" s="3"/>
      <c r="C9" s="3"/>
    </row>
    <row r="10" spans="1:3" ht="25.15" customHeight="1" x14ac:dyDescent="0.15">
      <c r="A10" s="32"/>
      <c r="B10" s="3"/>
      <c r="C10" s="3"/>
    </row>
    <row r="11" spans="1:3" ht="25.15" customHeight="1" x14ac:dyDescent="0.15">
      <c r="A11" s="77" t="s">
        <v>56</v>
      </c>
      <c r="B11" s="70"/>
      <c r="C11" s="70"/>
    </row>
    <row r="12" spans="1:3" ht="25.15" customHeight="1" x14ac:dyDescent="0.15">
      <c r="A12" s="17" t="s">
        <v>57</v>
      </c>
      <c r="B12" s="17" t="s">
        <v>58</v>
      </c>
      <c r="C12" s="17" t="s">
        <v>59</v>
      </c>
    </row>
    <row r="13" spans="1:3" ht="25.15" customHeight="1" x14ac:dyDescent="0.15">
      <c r="A13" s="14" t="s">
        <v>60</v>
      </c>
      <c r="B13" s="13">
        <f>SUMIF(收入明细260410[分类],"淘宝外卖",收入明细260410[收入明细])</f>
        <v>10340.77</v>
      </c>
      <c r="C13" s="15">
        <f>$B$13/$B$3</f>
        <v>0.25193382576150708</v>
      </c>
    </row>
    <row r="14" spans="1:3" ht="25.15" customHeight="1" x14ac:dyDescent="0.15">
      <c r="A14" s="14" t="s">
        <v>61</v>
      </c>
      <c r="B14" s="13">
        <f>SUMIF(收入明细260410[分类],"美团外卖",收入明细260410[收入明细])</f>
        <v>15533.62</v>
      </c>
      <c r="C14" s="15">
        <f>$B$14/$B$3</f>
        <v>0.37844805701369066</v>
      </c>
    </row>
    <row r="15" spans="1:3" ht="25.15" customHeight="1" x14ac:dyDescent="0.15">
      <c r="A15" s="14" t="s">
        <v>135</v>
      </c>
      <c r="B15" s="13">
        <f>SUMIF(收入明细260410[分类],"抖音来客",收入明细260410[收入明细])</f>
        <v>26.9</v>
      </c>
      <c r="C15" s="15">
        <f>$B$15/$B$3</f>
        <v>6.5536898248240124E-4</v>
      </c>
    </row>
    <row r="16" spans="1:3" ht="25.15" customHeight="1" x14ac:dyDescent="0.15">
      <c r="A16" s="14" t="s">
        <v>62</v>
      </c>
      <c r="B16" s="13">
        <f>SUMIF(收入明细260410[分类],"微信堂食",收入明细260410[收入明细])</f>
        <v>7007.74</v>
      </c>
      <c r="C16" s="15">
        <f>$B$16/$B$3</f>
        <v>0.17073068525283355</v>
      </c>
    </row>
    <row r="17" spans="1:3" ht="25.15" customHeight="1" x14ac:dyDescent="0.15">
      <c r="A17" s="14" t="s">
        <v>63</v>
      </c>
      <c r="B17" s="13">
        <f>SUMIF(收入明细260410[分类],"支付宝堂食",收入明细260410[收入明细])</f>
        <v>2317.44</v>
      </c>
      <c r="C17" s="15">
        <f>$B$17/$B$3</f>
        <v>5.6460159656654872E-2</v>
      </c>
    </row>
    <row r="18" spans="1:3" ht="25.15" customHeight="1" x14ac:dyDescent="0.15">
      <c r="A18" s="14" t="s">
        <v>64</v>
      </c>
      <c r="B18" s="13">
        <f>SUMIF(收入明细260410[分类],"京东外卖",收入明细260410[收入明细])</f>
        <v>5819.11</v>
      </c>
      <c r="C18" s="15">
        <f>$B$18/$B$3</f>
        <v>0.14177190333283143</v>
      </c>
    </row>
    <row r="19" spans="1:3" ht="25.15" customHeight="1" x14ac:dyDescent="0.15">
      <c r="A19" s="33" t="s">
        <v>65</v>
      </c>
      <c r="B19" s="19">
        <f>SUM(B13:B18)</f>
        <v>41045.58</v>
      </c>
      <c r="C19" s="20">
        <f>SUM($C$13:$C$18)</f>
        <v>0.99999999999999989</v>
      </c>
    </row>
    <row r="20" spans="1:3" customFormat="1" ht="25.15" customHeight="1" x14ac:dyDescent="0.15"/>
    <row r="21" spans="1:3" customFormat="1" ht="25.15" customHeight="1" x14ac:dyDescent="0.15"/>
    <row r="22" spans="1:3" ht="25.15" customHeight="1" x14ac:dyDescent="0.15">
      <c r="A22" s="78" t="s">
        <v>66</v>
      </c>
      <c r="B22" s="78"/>
      <c r="C22" s="78"/>
    </row>
    <row r="23" spans="1:3" ht="25.15" customHeight="1" x14ac:dyDescent="0.15">
      <c r="A23" s="79" t="s">
        <v>67</v>
      </c>
      <c r="B23" s="80"/>
      <c r="C23" s="81"/>
    </row>
    <row r="24" spans="1:3" ht="25.15" customHeight="1" x14ac:dyDescent="0.15">
      <c r="A24" s="14" t="s">
        <v>25</v>
      </c>
      <c r="B24" s="13">
        <f>SUMIF(支出明细26049[分类],"食材",支出明细26049[支出明细])</f>
        <v>18679.919999999995</v>
      </c>
      <c r="C24" s="15">
        <f>$B$24/$B$4</f>
        <v>0.47561507502554401</v>
      </c>
    </row>
    <row r="25" spans="1:3" ht="25.15" customHeight="1" x14ac:dyDescent="0.15">
      <c r="A25" s="14" t="s">
        <v>68</v>
      </c>
      <c r="B25" s="13">
        <f>SUMIF(支出明细26049[分类],"工资",支出明细26049[支出明细])</f>
        <v>12000</v>
      </c>
      <c r="C25" s="15">
        <f>$B$25/$B$4</f>
        <v>0.30553561794196815</v>
      </c>
    </row>
    <row r="26" spans="1:3" ht="25.15" customHeight="1" x14ac:dyDescent="0.15">
      <c r="A26" s="14" t="s">
        <v>6</v>
      </c>
      <c r="B26" s="13">
        <f>SUMIF(支出明细26049[分类],"房租",支出明细26049[支出明细])</f>
        <v>4333</v>
      </c>
      <c r="C26" s="15">
        <f>$B$26/$B$4</f>
        <v>0.11032381937854566</v>
      </c>
    </row>
    <row r="27" spans="1:3" ht="25.15" customHeight="1" x14ac:dyDescent="0.15">
      <c r="A27" s="14" t="s">
        <v>32</v>
      </c>
      <c r="B27" s="13">
        <f>SUMIF(支出明细26049[分类],"推广",支出明细26049[支出明细])</f>
        <v>557.17000000000007</v>
      </c>
      <c r="C27" s="15">
        <f>$B$27/$B$4</f>
        <v>1.4186273354060534E-2</v>
      </c>
    </row>
    <row r="28" spans="1:3" ht="25.15" customHeight="1" x14ac:dyDescent="0.15">
      <c r="A28" s="14" t="s">
        <v>37</v>
      </c>
      <c r="B28" s="13">
        <f>SUMIF(支出明细26049[分类],"水电",支出明细26049[支出明细])</f>
        <v>2956.2</v>
      </c>
      <c r="C28" s="15">
        <f>$B$28/$B$4</f>
        <v>7.5268699480003851E-2</v>
      </c>
    </row>
    <row r="29" spans="1:3" ht="25.15" customHeight="1" x14ac:dyDescent="0.15">
      <c r="A29" s="14" t="s">
        <v>14</v>
      </c>
      <c r="B29" s="13">
        <f>SUMIF(支出明细26049[分类],"其他",支出明细26049[支出明细])</f>
        <v>749</v>
      </c>
      <c r="C29" s="15">
        <f>$B$29/$B$4</f>
        <v>1.9070514819877846E-2</v>
      </c>
    </row>
    <row r="30" spans="1:3" ht="25.15" customHeight="1" x14ac:dyDescent="0.15">
      <c r="A30" s="34" t="s">
        <v>65</v>
      </c>
      <c r="B30" s="23">
        <f>SUM(B24:B29)</f>
        <v>39275.289999999994</v>
      </c>
      <c r="C30" s="24">
        <f>SUM($C$24:$C$29)</f>
        <v>1</v>
      </c>
    </row>
    <row r="33" spans="1:3" ht="25.15" customHeight="1" x14ac:dyDescent="0.15">
      <c r="A33" s="1" t="s">
        <v>69</v>
      </c>
      <c r="B33" s="25" t="s">
        <v>4</v>
      </c>
      <c r="C33" s="26" t="s">
        <v>5</v>
      </c>
    </row>
    <row r="34" spans="1:3" ht="25.15" customHeight="1" x14ac:dyDescent="0.15">
      <c r="A34" s="27">
        <v>6912.86</v>
      </c>
      <c r="B34" s="25" t="s">
        <v>62</v>
      </c>
      <c r="C34" s="26" t="s">
        <v>136</v>
      </c>
    </row>
    <row r="35" spans="1:3" ht="25.15" customHeight="1" x14ac:dyDescent="0.15">
      <c r="A35" s="27">
        <v>94.88</v>
      </c>
      <c r="B35" s="25" t="s">
        <v>62</v>
      </c>
      <c r="C35" s="26" t="s">
        <v>137</v>
      </c>
    </row>
    <row r="36" spans="1:3" ht="25.15" customHeight="1" x14ac:dyDescent="0.15">
      <c r="A36" s="27">
        <v>2317.44</v>
      </c>
      <c r="B36" s="25" t="s">
        <v>63</v>
      </c>
      <c r="C36" s="26"/>
    </row>
    <row r="37" spans="1:3" ht="25.15" customHeight="1" x14ac:dyDescent="0.15">
      <c r="A37" s="27">
        <v>5819.11</v>
      </c>
      <c r="B37" s="25" t="s">
        <v>64</v>
      </c>
      <c r="C37" s="26"/>
    </row>
    <row r="38" spans="1:3" ht="25.15" customHeight="1" x14ac:dyDescent="0.15">
      <c r="A38" s="27">
        <v>10340.77</v>
      </c>
      <c r="B38" s="25" t="s">
        <v>60</v>
      </c>
      <c r="C38" s="26"/>
    </row>
    <row r="39" spans="1:3" ht="25.15" customHeight="1" x14ac:dyDescent="0.15">
      <c r="A39" s="27">
        <v>15533.62</v>
      </c>
      <c r="B39" s="25" t="s">
        <v>61</v>
      </c>
      <c r="C39" s="26"/>
    </row>
    <row r="40" spans="1:3" ht="25.15" customHeight="1" x14ac:dyDescent="0.15">
      <c r="A40" s="1">
        <v>26.9</v>
      </c>
      <c r="B40" s="28" t="s">
        <v>135</v>
      </c>
      <c r="C40" s="29"/>
    </row>
    <row r="41" spans="1:3" ht="25.15" customHeight="1" x14ac:dyDescent="0.15">
      <c r="A41" s="1"/>
      <c r="B41" s="28"/>
      <c r="C41" s="30"/>
    </row>
    <row r="42" spans="1:3" ht="25.15" customHeight="1" x14ac:dyDescent="0.15">
      <c r="A42" s="1"/>
      <c r="B42" s="28"/>
      <c r="C42" s="30"/>
    </row>
    <row r="43" spans="1:3" ht="25.15" customHeight="1" x14ac:dyDescent="0.15">
      <c r="A43" s="1" t="s">
        <v>71</v>
      </c>
      <c r="B43" s="26" t="s">
        <v>4</v>
      </c>
      <c r="C43" s="26" t="s">
        <v>5</v>
      </c>
    </row>
    <row r="44" spans="1:3" ht="25.15" customHeight="1" x14ac:dyDescent="0.15">
      <c r="A44" s="1">
        <v>4333</v>
      </c>
      <c r="B44" s="26" t="s">
        <v>6</v>
      </c>
      <c r="C44" s="26" t="s">
        <v>72</v>
      </c>
    </row>
    <row r="45" spans="1:3" ht="25.15" customHeight="1" x14ac:dyDescent="0.15">
      <c r="A45" s="1">
        <v>12000</v>
      </c>
      <c r="B45" s="26" t="s">
        <v>68</v>
      </c>
      <c r="C45" s="26" t="s">
        <v>160</v>
      </c>
    </row>
    <row r="46" spans="1:3" ht="25.15" customHeight="1" x14ac:dyDescent="0.15">
      <c r="A46" s="1">
        <v>2956.2</v>
      </c>
      <c r="B46" s="26" t="s">
        <v>37</v>
      </c>
      <c r="C46" s="26" t="s">
        <v>160</v>
      </c>
    </row>
    <row r="47" spans="1:3" ht="25.15" customHeight="1" x14ac:dyDescent="0.15">
      <c r="A47" s="1">
        <v>2000</v>
      </c>
      <c r="B47" s="25" t="s">
        <v>25</v>
      </c>
      <c r="C47" s="26" t="s">
        <v>161</v>
      </c>
    </row>
    <row r="48" spans="1:3" ht="25.15" customHeight="1" x14ac:dyDescent="0.15">
      <c r="A48" s="1">
        <v>915</v>
      </c>
      <c r="B48" s="2" t="s">
        <v>25</v>
      </c>
      <c r="C48" s="2" t="s">
        <v>162</v>
      </c>
    </row>
    <row r="49" spans="1:3" ht="25.15" customHeight="1" x14ac:dyDescent="0.15">
      <c r="A49" s="1">
        <v>601.91999999999996</v>
      </c>
      <c r="B49" s="2" t="s">
        <v>25</v>
      </c>
      <c r="C49" s="2" t="s">
        <v>112</v>
      </c>
    </row>
    <row r="50" spans="1:3" ht="25.15" customHeight="1" x14ac:dyDescent="0.15">
      <c r="A50" s="1">
        <v>200</v>
      </c>
      <c r="B50" s="2" t="s">
        <v>14</v>
      </c>
      <c r="C50" s="2" t="s">
        <v>163</v>
      </c>
    </row>
    <row r="51" spans="1:3" ht="25.15" customHeight="1" x14ac:dyDescent="0.15">
      <c r="A51" s="1">
        <v>678</v>
      </c>
      <c r="B51" s="2" t="s">
        <v>25</v>
      </c>
      <c r="C51" s="2" t="s">
        <v>164</v>
      </c>
    </row>
    <row r="52" spans="1:3" ht="25.15" customHeight="1" x14ac:dyDescent="0.15">
      <c r="A52" s="1">
        <v>6795</v>
      </c>
      <c r="B52" s="2" t="s">
        <v>25</v>
      </c>
      <c r="C52" s="2" t="s">
        <v>165</v>
      </c>
    </row>
    <row r="53" spans="1:3" ht="25.15" customHeight="1" x14ac:dyDescent="0.15">
      <c r="A53" s="1">
        <v>50</v>
      </c>
      <c r="B53" s="2" t="s">
        <v>14</v>
      </c>
      <c r="C53" s="2" t="s">
        <v>144</v>
      </c>
    </row>
    <row r="54" spans="1:3" ht="25.15" customHeight="1" x14ac:dyDescent="0.15">
      <c r="A54" s="1">
        <v>500</v>
      </c>
      <c r="B54" s="2" t="s">
        <v>25</v>
      </c>
      <c r="C54" s="2" t="s">
        <v>166</v>
      </c>
    </row>
    <row r="55" spans="1:3" ht="25.15" customHeight="1" x14ac:dyDescent="0.15">
      <c r="A55" s="1">
        <v>300</v>
      </c>
      <c r="B55" s="2" t="s">
        <v>32</v>
      </c>
      <c r="C55" s="2" t="s">
        <v>167</v>
      </c>
    </row>
    <row r="56" spans="1:3" ht="25.15" customHeight="1" x14ac:dyDescent="0.15">
      <c r="A56" s="1">
        <v>860</v>
      </c>
      <c r="B56" s="2" t="s">
        <v>25</v>
      </c>
      <c r="C56" s="2" t="s">
        <v>168</v>
      </c>
    </row>
    <row r="57" spans="1:3" ht="25.15" customHeight="1" x14ac:dyDescent="0.15">
      <c r="A57" s="1">
        <v>499</v>
      </c>
      <c r="B57" s="2" t="s">
        <v>14</v>
      </c>
      <c r="C57" s="2" t="s">
        <v>169</v>
      </c>
    </row>
    <row r="58" spans="1:3" ht="25.15" customHeight="1" x14ac:dyDescent="0.15">
      <c r="A58" s="1">
        <v>214.9</v>
      </c>
      <c r="B58" s="2" t="s">
        <v>25</v>
      </c>
      <c r="C58" s="2" t="s">
        <v>170</v>
      </c>
    </row>
    <row r="59" spans="1:3" ht="25.15" customHeight="1" x14ac:dyDescent="0.15">
      <c r="A59" s="1">
        <v>100</v>
      </c>
      <c r="B59" s="2" t="s">
        <v>32</v>
      </c>
      <c r="C59" s="2" t="s">
        <v>171</v>
      </c>
    </row>
    <row r="60" spans="1:3" ht="25.15" customHeight="1" x14ac:dyDescent="0.15">
      <c r="A60" s="1">
        <v>4282</v>
      </c>
      <c r="B60" s="2" t="s">
        <v>25</v>
      </c>
      <c r="C60" s="2" t="s">
        <v>172</v>
      </c>
    </row>
    <row r="61" spans="1:3" ht="25.15" customHeight="1" x14ac:dyDescent="0.15">
      <c r="A61" s="1">
        <v>38.92</v>
      </c>
      <c r="B61" s="2" t="s">
        <v>32</v>
      </c>
      <c r="C61" s="2" t="s">
        <v>173</v>
      </c>
    </row>
    <row r="62" spans="1:3" ht="25.15" customHeight="1" x14ac:dyDescent="0.15">
      <c r="A62" s="1">
        <v>38.299999999999997</v>
      </c>
      <c r="B62" s="2" t="s">
        <v>25</v>
      </c>
      <c r="C62" s="2" t="s">
        <v>174</v>
      </c>
    </row>
    <row r="63" spans="1:3" ht="25.15" customHeight="1" x14ac:dyDescent="0.15">
      <c r="A63" s="1">
        <v>38.1</v>
      </c>
      <c r="B63" s="2" t="s">
        <v>25</v>
      </c>
      <c r="C63" s="2" t="s">
        <v>175</v>
      </c>
    </row>
    <row r="64" spans="1:3" ht="25.15" customHeight="1" x14ac:dyDescent="0.15">
      <c r="A64" s="1">
        <v>635</v>
      </c>
      <c r="B64" s="2" t="s">
        <v>25</v>
      </c>
      <c r="C64" s="2" t="s">
        <v>166</v>
      </c>
    </row>
    <row r="65" spans="1:3" ht="25.15" customHeight="1" x14ac:dyDescent="0.15">
      <c r="A65" s="1">
        <v>482</v>
      </c>
      <c r="B65" s="2" t="s">
        <v>25</v>
      </c>
      <c r="C65" s="2" t="s">
        <v>168</v>
      </c>
    </row>
    <row r="66" spans="1:3" ht="25.15" customHeight="1" x14ac:dyDescent="0.15">
      <c r="A66" s="1">
        <v>100</v>
      </c>
      <c r="B66" s="2" t="s">
        <v>32</v>
      </c>
      <c r="C66" s="2" t="s">
        <v>111</v>
      </c>
    </row>
    <row r="67" spans="1:3" ht="25.15" customHeight="1" x14ac:dyDescent="0.15">
      <c r="A67" s="1">
        <v>291.45999999999998</v>
      </c>
      <c r="B67" s="2" t="s">
        <v>25</v>
      </c>
      <c r="C67" s="2" t="s">
        <v>176</v>
      </c>
    </row>
    <row r="68" spans="1:3" ht="25.15" customHeight="1" x14ac:dyDescent="0.15">
      <c r="A68" s="1">
        <v>296.64</v>
      </c>
      <c r="B68" s="2" t="s">
        <v>25</v>
      </c>
      <c r="C68" s="2" t="s">
        <v>176</v>
      </c>
    </row>
    <row r="69" spans="1:3" ht="25.15" customHeight="1" x14ac:dyDescent="0.15">
      <c r="A69" s="1">
        <v>18.25</v>
      </c>
      <c r="B69" s="2" t="s">
        <v>32</v>
      </c>
      <c r="C69" s="2" t="s">
        <v>173</v>
      </c>
    </row>
    <row r="70" spans="1:3" ht="25.15" customHeight="1" x14ac:dyDescent="0.15">
      <c r="A70" s="1">
        <v>51.6</v>
      </c>
      <c r="B70" s="2" t="s">
        <v>25</v>
      </c>
      <c r="C70" s="2" t="s">
        <v>115</v>
      </c>
    </row>
  </sheetData>
  <mergeCells count="4">
    <mergeCell ref="A1:C1"/>
    <mergeCell ref="A11:C11"/>
    <mergeCell ref="A22:C22"/>
    <mergeCell ref="A23:C23"/>
  </mergeCells>
  <phoneticPr fontId="7" type="noConversion"/>
  <dataValidations count="1">
    <dataValidation type="list" allowBlank="1" showInputMessage="1" showErrorMessage="1" sqref="B50 B51 B52 B53 B54 B55 B56 B57 B58 B59 B60 B61 B62 B63 B64 B65 B66 B67 B68 B69 B70 B2:B7 B44:B47 B48:B49" xr:uid="{00000000-0002-0000-0400-000000000000}">
      <formula1>"房租,其他,食材,推广,水电,工资"</formula1>
    </dataValidation>
  </dataValidations>
  <pageMargins left="0.7" right="0.7" top="0.75" bottom="0.75" header="0.3" footer="0.3"/>
  <pageSetup paperSize="9" orientation="portrait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C76"/>
  <sheetViews>
    <sheetView topLeftCell="A12" workbookViewId="0">
      <selection activeCell="A55" sqref="A55"/>
    </sheetView>
  </sheetViews>
  <sheetFormatPr defaultColWidth="30.625" defaultRowHeight="25.15" customHeight="1" x14ac:dyDescent="0.15"/>
  <cols>
    <col min="1" max="1" width="30.625" style="1" customWidth="1"/>
    <col min="2" max="2" width="30.625" style="2" customWidth="1"/>
    <col min="3" max="16384" width="30.625" style="2"/>
  </cols>
  <sheetData>
    <row r="1" spans="1:3" ht="25.15" customHeight="1" x14ac:dyDescent="0.15">
      <c r="A1" s="82" t="s">
        <v>44</v>
      </c>
      <c r="B1" s="70"/>
      <c r="C1" s="70"/>
    </row>
    <row r="2" spans="1:3" ht="25.15" customHeight="1" x14ac:dyDescent="0.15">
      <c r="A2" s="4" t="s">
        <v>45</v>
      </c>
      <c r="B2" s="5" t="s">
        <v>46</v>
      </c>
      <c r="C2" s="5" t="s">
        <v>47</v>
      </c>
    </row>
    <row r="3" spans="1:3" ht="25.15" customHeight="1" x14ac:dyDescent="0.15">
      <c r="A3" s="6" t="s">
        <v>48</v>
      </c>
      <c r="B3" s="7">
        <f>SUM(收入明细260410_12[收入明细])</f>
        <v>40085.599999999999</v>
      </c>
      <c r="C3" s="8" t="s">
        <v>49</v>
      </c>
    </row>
    <row r="4" spans="1:3" ht="25.15" customHeight="1" x14ac:dyDescent="0.15">
      <c r="A4" s="9" t="s">
        <v>50</v>
      </c>
      <c r="B4" s="10">
        <f>SUM(支出明细26049_11[支出明细])</f>
        <v>39707.93</v>
      </c>
      <c r="C4" s="11" t="s">
        <v>49</v>
      </c>
    </row>
    <row r="5" spans="1:3" ht="25.15" customHeight="1" x14ac:dyDescent="0.15">
      <c r="A5" s="12" t="s">
        <v>51</v>
      </c>
      <c r="B5" s="13">
        <f>$B$3-SUMIF(支出明细26049_11[分类],"食材",支出明细26049_11[支出明细])</f>
        <v>20894.169999999998</v>
      </c>
      <c r="C5" s="14" t="s">
        <v>49</v>
      </c>
    </row>
    <row r="6" spans="1:3" ht="25.15" customHeight="1" x14ac:dyDescent="0.15">
      <c r="A6" s="12" t="s">
        <v>52</v>
      </c>
      <c r="B6" s="13">
        <f>$B$3-$B$4</f>
        <v>377.66999999999825</v>
      </c>
      <c r="C6" s="14" t="s">
        <v>49</v>
      </c>
    </row>
    <row r="7" spans="1:3" ht="25.15" customHeight="1" x14ac:dyDescent="0.15">
      <c r="A7" s="12" t="s">
        <v>53</v>
      </c>
      <c r="B7" s="15">
        <f>$B$5/$B$3</f>
        <v>0.52123879897020375</v>
      </c>
      <c r="C7" s="14" t="s">
        <v>54</v>
      </c>
    </row>
    <row r="8" spans="1:3" ht="25.15" customHeight="1" x14ac:dyDescent="0.15">
      <c r="A8" s="12" t="s">
        <v>55</v>
      </c>
      <c r="B8" s="15">
        <f>$B$6/$B$3</f>
        <v>9.4215878021034552E-3</v>
      </c>
      <c r="C8" s="14" t="s">
        <v>54</v>
      </c>
    </row>
    <row r="9" spans="1:3" ht="25.15" customHeight="1" x14ac:dyDescent="0.15">
      <c r="B9" s="3"/>
      <c r="C9" s="3"/>
    </row>
    <row r="10" spans="1:3" ht="25.15" customHeight="1" x14ac:dyDescent="0.15">
      <c r="B10" s="3"/>
      <c r="C10" s="3"/>
    </row>
    <row r="11" spans="1:3" ht="25.15" customHeight="1" x14ac:dyDescent="0.15">
      <c r="A11" s="83" t="s">
        <v>56</v>
      </c>
      <c r="B11" s="70"/>
      <c r="C11" s="70"/>
    </row>
    <row r="12" spans="1:3" ht="25.15" customHeight="1" x14ac:dyDescent="0.15">
      <c r="A12" s="16" t="s">
        <v>57</v>
      </c>
      <c r="B12" s="17" t="s">
        <v>58</v>
      </c>
      <c r="C12" s="17" t="s">
        <v>59</v>
      </c>
    </row>
    <row r="13" spans="1:3" ht="25.15" customHeight="1" x14ac:dyDescent="0.15">
      <c r="A13" s="12" t="s">
        <v>60</v>
      </c>
      <c r="B13" s="13">
        <f>SUMIF(收入明细260410_12[分类],"淘宝外卖",收入明细260410_12[收入明细])</f>
        <v>11764.03</v>
      </c>
      <c r="C13" s="15">
        <f>$B$13/$B$3</f>
        <v>0.29347271838266115</v>
      </c>
    </row>
    <row r="14" spans="1:3" ht="25.15" customHeight="1" x14ac:dyDescent="0.15">
      <c r="A14" s="12" t="s">
        <v>61</v>
      </c>
      <c r="B14" s="13">
        <f>SUMIF(收入明细260410_12[分类],"美团外卖",收入明细260410_12[收入明细])</f>
        <v>15201.98</v>
      </c>
      <c r="C14" s="15">
        <f>$B$14/$B$3</f>
        <v>0.37923793082802804</v>
      </c>
    </row>
    <row r="15" spans="1:3" ht="25.15" customHeight="1" x14ac:dyDescent="0.15">
      <c r="A15" s="12" t="s">
        <v>135</v>
      </c>
      <c r="B15" s="13">
        <f>SUMIF(收入明细260410_12[分类],"抖音来客",收入明细260410_12[收入明细])</f>
        <v>35.880000000000003</v>
      </c>
      <c r="C15" s="15">
        <f>$B$15/$B$3</f>
        <v>8.9508451912906394E-4</v>
      </c>
    </row>
    <row r="16" spans="1:3" ht="25.15" customHeight="1" x14ac:dyDescent="0.15">
      <c r="A16" s="12" t="s">
        <v>62</v>
      </c>
      <c r="B16" s="13">
        <f>SUMIF(收入明细260410_12[分类],"微信堂食",收入明细260410_12[收入明细])</f>
        <v>5501.92</v>
      </c>
      <c r="C16" s="15">
        <f>$B$16/$B$3</f>
        <v>0.1372542758496817</v>
      </c>
    </row>
    <row r="17" spans="1:3" ht="25.15" customHeight="1" x14ac:dyDescent="0.15">
      <c r="A17" s="12" t="s">
        <v>63</v>
      </c>
      <c r="B17" s="13">
        <f>SUMIF(收入明细260410_12[分类],"支付宝堂食",收入明细260410_12[收入明细])</f>
        <v>3345.32</v>
      </c>
      <c r="C17" s="15">
        <f>$B$17/$B$3</f>
        <v>8.3454407567804909E-2</v>
      </c>
    </row>
    <row r="18" spans="1:3" ht="25.15" customHeight="1" x14ac:dyDescent="0.15">
      <c r="A18" s="12" t="s">
        <v>64</v>
      </c>
      <c r="B18" s="13">
        <f>SUMIF(收入明细260410_12[分类],"京东外卖",收入明细260410_12[收入明细])</f>
        <v>4236.47</v>
      </c>
      <c r="C18" s="15">
        <f>$B$18/$B$3</f>
        <v>0.10568558285269525</v>
      </c>
    </row>
    <row r="19" spans="1:3" ht="25.15" customHeight="1" x14ac:dyDescent="0.15">
      <c r="A19" s="18" t="s">
        <v>65</v>
      </c>
      <c r="B19" s="19">
        <f>SUM(B13:B18)</f>
        <v>40085.600000000006</v>
      </c>
      <c r="C19" s="20">
        <f>SUM($C$13:$C$18)</f>
        <v>1</v>
      </c>
    </row>
    <row r="20" spans="1:3" customFormat="1" ht="25.15" customHeight="1" x14ac:dyDescent="0.15">
      <c r="A20" s="21"/>
    </row>
    <row r="21" spans="1:3" customFormat="1" ht="25.15" customHeight="1" x14ac:dyDescent="0.15">
      <c r="A21" s="21"/>
    </row>
    <row r="22" spans="1:3" ht="25.15" customHeight="1" x14ac:dyDescent="0.15">
      <c r="A22" s="84" t="s">
        <v>66</v>
      </c>
      <c r="B22" s="78"/>
      <c r="C22" s="78"/>
    </row>
    <row r="23" spans="1:3" ht="25.15" customHeight="1" x14ac:dyDescent="0.15">
      <c r="A23" s="85" t="s">
        <v>67</v>
      </c>
      <c r="B23" s="80"/>
      <c r="C23" s="81"/>
    </row>
    <row r="24" spans="1:3" ht="25.15" customHeight="1" x14ac:dyDescent="0.15">
      <c r="A24" s="12" t="s">
        <v>25</v>
      </c>
      <c r="B24" s="13">
        <f>SUMIF(支出明细26049_11[分类],"食材",支出明细26049_11[支出明细])</f>
        <v>19191.43</v>
      </c>
      <c r="C24" s="15">
        <f>$B$24/$B$4</f>
        <v>0.483314793795597</v>
      </c>
    </row>
    <row r="25" spans="1:3" ht="25.15" customHeight="1" x14ac:dyDescent="0.15">
      <c r="A25" s="12" t="s">
        <v>68</v>
      </c>
      <c r="B25" s="13">
        <f>SUMIF(支出明细26049_11[分类],"工资",支出明细26049_11[支出明细])</f>
        <v>12000</v>
      </c>
      <c r="C25" s="15">
        <f>$B$25/$B$4</f>
        <v>0.30220663731400754</v>
      </c>
    </row>
    <row r="26" spans="1:3" ht="25.15" customHeight="1" x14ac:dyDescent="0.15">
      <c r="A26" s="12" t="s">
        <v>6</v>
      </c>
      <c r="B26" s="13">
        <f>SUMIF(支出明细26049_11[分类],"房租",支出明细26049_11[支出明细])</f>
        <v>4333</v>
      </c>
      <c r="C26" s="15">
        <f>$B$26/$B$4</f>
        <v>0.10912177995679956</v>
      </c>
    </row>
    <row r="27" spans="1:3" ht="25.15" customHeight="1" x14ac:dyDescent="0.15">
      <c r="A27" s="12" t="s">
        <v>32</v>
      </c>
      <c r="B27" s="13">
        <f>SUMIF(支出明细26049_11[分类],"推广",支出明细26049_11[支出明细])</f>
        <v>1342.4</v>
      </c>
      <c r="C27" s="15">
        <f>$B$27/$B$4</f>
        <v>3.3806849160860311E-2</v>
      </c>
    </row>
    <row r="28" spans="1:3" ht="25.15" customHeight="1" x14ac:dyDescent="0.15">
      <c r="A28" s="12" t="s">
        <v>37</v>
      </c>
      <c r="B28" s="13">
        <f>SUMIF(支出明细26049_11[分类],"水电",支出明细26049_11[支出明细])</f>
        <v>2641.1</v>
      </c>
      <c r="C28" s="15">
        <f>$B$28/$B$4</f>
        <v>6.6513162484168775E-2</v>
      </c>
    </row>
    <row r="29" spans="1:3" ht="25.15" customHeight="1" x14ac:dyDescent="0.15">
      <c r="A29" s="12" t="s">
        <v>14</v>
      </c>
      <c r="B29" s="13">
        <f>SUMIF(支出明细26049_11[分类],"其他",支出明细26049_11[支出明细])</f>
        <v>200</v>
      </c>
      <c r="C29" s="15">
        <f>$B$29/$B$4</f>
        <v>5.036777288566793E-3</v>
      </c>
    </row>
    <row r="30" spans="1:3" ht="25.15" customHeight="1" x14ac:dyDescent="0.15">
      <c r="A30" s="22" t="s">
        <v>65</v>
      </c>
      <c r="B30" s="23">
        <f>SUM(B24:B29)</f>
        <v>39707.93</v>
      </c>
      <c r="C30" s="24">
        <f>SUM($C$24:$C$29)</f>
        <v>1.0000000000000002</v>
      </c>
    </row>
    <row r="33" spans="1:3" ht="25.15" customHeight="1" x14ac:dyDescent="0.15">
      <c r="A33" s="1" t="s">
        <v>69</v>
      </c>
      <c r="B33" s="25" t="s">
        <v>4</v>
      </c>
      <c r="C33" s="26" t="s">
        <v>5</v>
      </c>
    </row>
    <row r="34" spans="1:3" ht="25.15" customHeight="1" x14ac:dyDescent="0.15">
      <c r="A34" s="27">
        <v>5501.92</v>
      </c>
      <c r="B34" s="25" t="s">
        <v>62</v>
      </c>
      <c r="C34" s="26" t="s">
        <v>136</v>
      </c>
    </row>
    <row r="35" spans="1:3" ht="25.15" customHeight="1" x14ac:dyDescent="0.15">
      <c r="A35" s="27">
        <v>0</v>
      </c>
      <c r="B35" s="25" t="s">
        <v>62</v>
      </c>
      <c r="C35" s="26" t="s">
        <v>137</v>
      </c>
    </row>
    <row r="36" spans="1:3" ht="25.15" customHeight="1" x14ac:dyDescent="0.15">
      <c r="A36" s="27">
        <v>3345.32</v>
      </c>
      <c r="B36" s="25" t="s">
        <v>63</v>
      </c>
      <c r="C36" s="26"/>
    </row>
    <row r="37" spans="1:3" ht="25.15" customHeight="1" x14ac:dyDescent="0.15">
      <c r="A37" s="27">
        <v>4236.47</v>
      </c>
      <c r="B37" s="25" t="s">
        <v>64</v>
      </c>
      <c r="C37" s="26"/>
    </row>
    <row r="38" spans="1:3" ht="25.15" customHeight="1" x14ac:dyDescent="0.15">
      <c r="A38" s="27">
        <v>11764.03</v>
      </c>
      <c r="B38" s="25" t="s">
        <v>60</v>
      </c>
      <c r="C38" s="26"/>
    </row>
    <row r="39" spans="1:3" ht="25.15" customHeight="1" x14ac:dyDescent="0.15">
      <c r="A39" s="27">
        <v>15201.98</v>
      </c>
      <c r="B39" s="25" t="s">
        <v>61</v>
      </c>
      <c r="C39" s="26"/>
    </row>
    <row r="40" spans="1:3" ht="25.15" customHeight="1" x14ac:dyDescent="0.15">
      <c r="A40" s="1">
        <v>35.880000000000003</v>
      </c>
      <c r="B40" s="28" t="s">
        <v>135</v>
      </c>
      <c r="C40" s="29"/>
    </row>
    <row r="41" spans="1:3" ht="25.15" customHeight="1" x14ac:dyDescent="0.15">
      <c r="B41" s="28"/>
      <c r="C41" s="30"/>
    </row>
    <row r="42" spans="1:3" ht="25.15" customHeight="1" x14ac:dyDescent="0.15">
      <c r="B42" s="28"/>
      <c r="C42" s="30"/>
    </row>
    <row r="43" spans="1:3" ht="25.15" customHeight="1" x14ac:dyDescent="0.15">
      <c r="A43" s="1" t="s">
        <v>71</v>
      </c>
      <c r="B43" s="26" t="s">
        <v>4</v>
      </c>
      <c r="C43" s="26" t="s">
        <v>5</v>
      </c>
    </row>
    <row r="44" spans="1:3" ht="25.15" hidden="1" customHeight="1" x14ac:dyDescent="0.15">
      <c r="A44" s="1">
        <v>4333</v>
      </c>
      <c r="B44" s="26" t="s">
        <v>6</v>
      </c>
      <c r="C44" s="26" t="s">
        <v>72</v>
      </c>
    </row>
    <row r="45" spans="1:3" ht="25.15" hidden="1" customHeight="1" x14ac:dyDescent="0.15">
      <c r="A45" s="1">
        <v>12000</v>
      </c>
      <c r="B45" s="26" t="s">
        <v>68</v>
      </c>
      <c r="C45" s="26" t="s">
        <v>73</v>
      </c>
    </row>
    <row r="46" spans="1:3" ht="25.15" hidden="1" customHeight="1" x14ac:dyDescent="0.15">
      <c r="A46" s="1">
        <v>2641.1</v>
      </c>
      <c r="B46" s="26" t="s">
        <v>37</v>
      </c>
      <c r="C46" s="26" t="s">
        <v>37</v>
      </c>
    </row>
    <row r="47" spans="1:3" ht="25.15" customHeight="1" x14ac:dyDescent="0.15">
      <c r="A47" s="1">
        <v>423</v>
      </c>
      <c r="B47" s="2" t="s">
        <v>25</v>
      </c>
      <c r="C47" s="2" t="s">
        <v>177</v>
      </c>
    </row>
    <row r="48" spans="1:3" ht="25.15" customHeight="1" x14ac:dyDescent="0.15">
      <c r="A48" s="1">
        <v>130</v>
      </c>
      <c r="B48" s="2" t="s">
        <v>25</v>
      </c>
      <c r="C48" s="2" t="s">
        <v>177</v>
      </c>
    </row>
    <row r="49" spans="1:3" ht="25.15" customHeight="1" x14ac:dyDescent="0.15">
      <c r="A49" s="1">
        <v>465</v>
      </c>
      <c r="B49" s="2" t="s">
        <v>25</v>
      </c>
      <c r="C49" s="2" t="s">
        <v>178</v>
      </c>
    </row>
    <row r="50" spans="1:3" ht="25.15" customHeight="1" x14ac:dyDescent="0.15">
      <c r="A50" s="1">
        <v>6586</v>
      </c>
      <c r="B50" s="2" t="s">
        <v>25</v>
      </c>
      <c r="C50" s="2" t="s">
        <v>179</v>
      </c>
    </row>
    <row r="51" spans="1:3" ht="25.15" customHeight="1" x14ac:dyDescent="0.15">
      <c r="A51" s="1">
        <v>103.59</v>
      </c>
      <c r="B51" s="2" t="s">
        <v>25</v>
      </c>
      <c r="C51" s="2" t="s">
        <v>180</v>
      </c>
    </row>
    <row r="52" spans="1:3" ht="25.15" hidden="1" customHeight="1" x14ac:dyDescent="0.15">
      <c r="A52" s="1">
        <v>1230</v>
      </c>
      <c r="B52" s="2" t="s">
        <v>32</v>
      </c>
      <c r="C52" s="2" t="s">
        <v>181</v>
      </c>
    </row>
    <row r="53" spans="1:3" ht="25.15" customHeight="1" x14ac:dyDescent="0.15">
      <c r="A53" s="1">
        <v>2000</v>
      </c>
      <c r="B53" s="2" t="s">
        <v>25</v>
      </c>
      <c r="C53" s="2" t="s">
        <v>26</v>
      </c>
    </row>
    <row r="54" spans="1:3" ht="25.15" hidden="1" customHeight="1" x14ac:dyDescent="0.15">
      <c r="A54" s="1">
        <v>200</v>
      </c>
      <c r="B54" s="2" t="s">
        <v>14</v>
      </c>
      <c r="C54" s="2" t="s">
        <v>163</v>
      </c>
    </row>
    <row r="55" spans="1:3" ht="25.15" customHeight="1" x14ac:dyDescent="0.15">
      <c r="A55" s="1">
        <v>230</v>
      </c>
      <c r="B55" s="2" t="s">
        <v>25</v>
      </c>
      <c r="C55" s="2" t="s">
        <v>182</v>
      </c>
    </row>
    <row r="56" spans="1:3" ht="25.15" customHeight="1" x14ac:dyDescent="0.15">
      <c r="A56" s="1">
        <v>490</v>
      </c>
      <c r="B56" s="2" t="s">
        <v>25</v>
      </c>
      <c r="C56" s="2" t="s">
        <v>183</v>
      </c>
    </row>
    <row r="57" spans="1:3" ht="25.15" customHeight="1" x14ac:dyDescent="0.15">
      <c r="A57" s="1">
        <v>312</v>
      </c>
      <c r="B57" s="2" t="s">
        <v>25</v>
      </c>
      <c r="C57" s="2" t="s">
        <v>178</v>
      </c>
    </row>
    <row r="58" spans="1:3" ht="25.15" hidden="1" customHeight="1" x14ac:dyDescent="0.15">
      <c r="A58" s="1">
        <v>73.2</v>
      </c>
      <c r="B58" s="2" t="s">
        <v>32</v>
      </c>
      <c r="C58" s="2" t="s">
        <v>184</v>
      </c>
    </row>
    <row r="59" spans="1:3" ht="25.15" customHeight="1" x14ac:dyDescent="0.15">
      <c r="A59" s="1">
        <v>40</v>
      </c>
      <c r="B59" s="2" t="s">
        <v>25</v>
      </c>
      <c r="C59" s="2" t="s">
        <v>185</v>
      </c>
    </row>
    <row r="60" spans="1:3" ht="25.15" customHeight="1" x14ac:dyDescent="0.15">
      <c r="A60" s="1">
        <v>20</v>
      </c>
      <c r="B60" s="2" t="s">
        <v>25</v>
      </c>
      <c r="C60" s="2" t="s">
        <v>186</v>
      </c>
    </row>
    <row r="61" spans="1:3" ht="25.15" hidden="1" customHeight="1" x14ac:dyDescent="0.15">
      <c r="A61" s="1">
        <v>19.2</v>
      </c>
      <c r="B61" s="2" t="s">
        <v>32</v>
      </c>
      <c r="C61" s="2" t="s">
        <v>187</v>
      </c>
    </row>
    <row r="62" spans="1:3" ht="25.15" customHeight="1" x14ac:dyDescent="0.15">
      <c r="A62" s="1">
        <v>900</v>
      </c>
      <c r="B62" s="2" t="s">
        <v>25</v>
      </c>
      <c r="C62" s="2" t="s">
        <v>188</v>
      </c>
    </row>
    <row r="63" spans="1:3" ht="25.15" customHeight="1" x14ac:dyDescent="0.15">
      <c r="A63" s="1">
        <v>281.08999999999997</v>
      </c>
      <c r="B63" s="2" t="s">
        <v>25</v>
      </c>
      <c r="C63" s="2" t="s">
        <v>176</v>
      </c>
    </row>
    <row r="64" spans="1:3" ht="25.15" customHeight="1" x14ac:dyDescent="0.15">
      <c r="A64" s="1">
        <v>284.64999999999998</v>
      </c>
      <c r="B64" s="2" t="s">
        <v>25</v>
      </c>
      <c r="C64" s="2" t="s">
        <v>176</v>
      </c>
    </row>
    <row r="65" spans="1:3" ht="25.15" customHeight="1" x14ac:dyDescent="0.15">
      <c r="A65" s="1">
        <v>41.1</v>
      </c>
      <c r="B65" s="2" t="s">
        <v>25</v>
      </c>
      <c r="C65" s="2" t="s">
        <v>189</v>
      </c>
    </row>
    <row r="66" spans="1:3" ht="25.15" customHeight="1" x14ac:dyDescent="0.15">
      <c r="A66" s="1">
        <v>56</v>
      </c>
      <c r="B66" s="2" t="s">
        <v>25</v>
      </c>
      <c r="C66" s="2" t="s">
        <v>190</v>
      </c>
    </row>
    <row r="67" spans="1:3" ht="25.15" customHeight="1" x14ac:dyDescent="0.15">
      <c r="A67" s="1">
        <v>50</v>
      </c>
      <c r="B67" s="2" t="s">
        <v>25</v>
      </c>
      <c r="C67" s="2" t="s">
        <v>191</v>
      </c>
    </row>
    <row r="68" spans="1:3" ht="25.15" customHeight="1" x14ac:dyDescent="0.15">
      <c r="A68" s="1">
        <v>38</v>
      </c>
      <c r="B68" s="2" t="s">
        <v>25</v>
      </c>
      <c r="C68" s="2" t="s">
        <v>192</v>
      </c>
    </row>
    <row r="69" spans="1:3" ht="25.15" hidden="1" customHeight="1" x14ac:dyDescent="0.15">
      <c r="A69" s="1">
        <v>20</v>
      </c>
      <c r="B69" s="2" t="s">
        <v>32</v>
      </c>
      <c r="C69" s="2" t="s">
        <v>173</v>
      </c>
    </row>
    <row r="70" spans="1:3" ht="25.15" customHeight="1" x14ac:dyDescent="0.15">
      <c r="A70" s="1">
        <v>56</v>
      </c>
      <c r="B70" s="2" t="s">
        <v>25</v>
      </c>
      <c r="C70" s="2" t="s">
        <v>190</v>
      </c>
    </row>
    <row r="71" spans="1:3" ht="25.15" customHeight="1" x14ac:dyDescent="0.15">
      <c r="A71" s="1">
        <v>6000</v>
      </c>
      <c r="B71" s="2" t="s">
        <v>25</v>
      </c>
      <c r="C71" s="2" t="s">
        <v>172</v>
      </c>
    </row>
    <row r="72" spans="1:3" ht="25.15" customHeight="1" x14ac:dyDescent="0.15">
      <c r="A72" s="1">
        <v>270</v>
      </c>
      <c r="B72" s="2" t="s">
        <v>25</v>
      </c>
      <c r="C72" s="2" t="s">
        <v>193</v>
      </c>
    </row>
    <row r="73" spans="1:3" ht="25.15" customHeight="1" x14ac:dyDescent="0.15">
      <c r="A73" s="1">
        <v>70</v>
      </c>
      <c r="B73" s="2" t="s">
        <v>25</v>
      </c>
      <c r="C73" s="2" t="s">
        <v>194</v>
      </c>
    </row>
    <row r="74" spans="1:3" ht="25.15" customHeight="1" x14ac:dyDescent="0.15">
      <c r="A74" s="1">
        <v>57</v>
      </c>
      <c r="B74" s="2" t="s">
        <v>25</v>
      </c>
      <c r="C74" s="2" t="s">
        <v>194</v>
      </c>
    </row>
    <row r="75" spans="1:3" ht="25.15" customHeight="1" x14ac:dyDescent="0.15">
      <c r="A75" s="1">
        <v>38</v>
      </c>
      <c r="B75" s="2" t="s">
        <v>25</v>
      </c>
      <c r="C75" s="2" t="s">
        <v>195</v>
      </c>
    </row>
    <row r="76" spans="1:3" ht="25.15" customHeight="1" x14ac:dyDescent="0.15">
      <c r="A76" s="1">
        <v>250</v>
      </c>
      <c r="B76" s="2" t="s">
        <v>25</v>
      </c>
      <c r="C76" s="2" t="s">
        <v>196</v>
      </c>
    </row>
  </sheetData>
  <mergeCells count="4">
    <mergeCell ref="A1:C1"/>
    <mergeCell ref="A11:C11"/>
    <mergeCell ref="A22:C22"/>
    <mergeCell ref="A23:C23"/>
  </mergeCells>
  <phoneticPr fontId="7" type="noConversion"/>
  <dataValidations count="1">
    <dataValidation type="list" allowBlank="1" showInputMessage="1" showErrorMessage="1" sqref="B47 B48 B49 B50 B51 B52 B53 B54 B55 B56 B57 B58 B59 B60 B61 B62 B63 B64 B65 B66 B67 B68 B69 B70 B71 B76 B2:B7 B44:B46 B72:B73 B74:B75" xr:uid="{00000000-0002-0000-0500-000000000000}">
      <formula1>"房租,其他,食材,推广,水电,工资"</formula1>
    </dataValidation>
  </dataValidations>
  <pageMargins left="0.7" right="0.7" top="0.75" bottom="0.75" header="0.3" footer="0.3"/>
  <pageSetup paperSize="9" orientation="portrait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A1:C66"/>
  <sheetViews>
    <sheetView tabSelected="1" workbookViewId="0">
      <selection activeCell="D46" sqref="D46"/>
    </sheetView>
  </sheetViews>
  <sheetFormatPr defaultColWidth="30.625" defaultRowHeight="25.15" customHeight="1" x14ac:dyDescent="0.15"/>
  <cols>
    <col min="1" max="1" width="30.625" style="1" customWidth="1"/>
    <col min="2" max="2" width="30.625" style="2" customWidth="1"/>
    <col min="3" max="16384" width="30.625" style="2"/>
  </cols>
  <sheetData>
    <row r="1" spans="1:3" ht="25.15" customHeight="1" x14ac:dyDescent="0.15">
      <c r="A1" s="82" t="s">
        <v>44</v>
      </c>
      <c r="B1" s="70"/>
      <c r="C1" s="70"/>
    </row>
    <row r="2" spans="1:3" ht="25.15" customHeight="1" x14ac:dyDescent="0.15">
      <c r="A2" s="4" t="s">
        <v>45</v>
      </c>
      <c r="B2" s="5" t="s">
        <v>46</v>
      </c>
      <c r="C2" s="5" t="s">
        <v>47</v>
      </c>
    </row>
    <row r="3" spans="1:3" ht="25.15" customHeight="1" x14ac:dyDescent="0.15">
      <c r="A3" s="6" t="s">
        <v>48</v>
      </c>
      <c r="B3" s="7">
        <f>SUM(收入明细260410_1220[收入明细])</f>
        <v>37515.39</v>
      </c>
      <c r="C3" s="8" t="s">
        <v>49</v>
      </c>
    </row>
    <row r="4" spans="1:3" ht="25.15" customHeight="1" x14ac:dyDescent="0.15">
      <c r="A4" s="9" t="s">
        <v>50</v>
      </c>
      <c r="B4" s="10">
        <f>SUM(支出明细26049_1119[支出明细])</f>
        <v>43552.97</v>
      </c>
      <c r="C4" s="11" t="s">
        <v>49</v>
      </c>
    </row>
    <row r="5" spans="1:3" ht="25.15" customHeight="1" x14ac:dyDescent="0.15">
      <c r="A5" s="12" t="s">
        <v>51</v>
      </c>
      <c r="B5" s="13">
        <f>$B$3-SUMIF(支出明细26049_1119[分类],"食材",支出明细26049_1119[支出明细])</f>
        <v>14295.419999999995</v>
      </c>
      <c r="C5" s="14" t="s">
        <v>49</v>
      </c>
    </row>
    <row r="6" spans="1:3" ht="25.15" customHeight="1" x14ac:dyDescent="0.15">
      <c r="A6" s="12" t="s">
        <v>52</v>
      </c>
      <c r="B6" s="13">
        <f>$B$3-$B$4</f>
        <v>-6037.5800000000017</v>
      </c>
      <c r="C6" s="14" t="s">
        <v>49</v>
      </c>
    </row>
    <row r="7" spans="1:3" ht="25.15" customHeight="1" x14ac:dyDescent="0.15">
      <c r="A7" s="12" t="s">
        <v>53</v>
      </c>
      <c r="B7" s="15">
        <f>$B$5/$B$3</f>
        <v>0.38105481510388123</v>
      </c>
      <c r="C7" s="14" t="s">
        <v>54</v>
      </c>
    </row>
    <row r="8" spans="1:3" ht="25.15" customHeight="1" x14ac:dyDescent="0.15">
      <c r="A8" s="12" t="s">
        <v>55</v>
      </c>
      <c r="B8" s="15">
        <f>$B$6/$B$3</f>
        <v>-0.16093608516398208</v>
      </c>
      <c r="C8" s="14" t="s">
        <v>54</v>
      </c>
    </row>
    <row r="9" spans="1:3" ht="25.15" customHeight="1" x14ac:dyDescent="0.15">
      <c r="B9" s="3"/>
      <c r="C9" s="3"/>
    </row>
    <row r="10" spans="1:3" ht="25.15" customHeight="1" x14ac:dyDescent="0.15">
      <c r="B10" s="3"/>
      <c r="C10" s="3"/>
    </row>
    <row r="11" spans="1:3" ht="25.15" customHeight="1" x14ac:dyDescent="0.15">
      <c r="A11" s="83" t="s">
        <v>56</v>
      </c>
      <c r="B11" s="70"/>
      <c r="C11" s="70"/>
    </row>
    <row r="12" spans="1:3" ht="25.15" customHeight="1" x14ac:dyDescent="0.15">
      <c r="A12" s="16" t="s">
        <v>57</v>
      </c>
      <c r="B12" s="17" t="s">
        <v>58</v>
      </c>
      <c r="C12" s="17" t="s">
        <v>59</v>
      </c>
    </row>
    <row r="13" spans="1:3" ht="25.15" customHeight="1" x14ac:dyDescent="0.15">
      <c r="A13" s="12" t="s">
        <v>60</v>
      </c>
      <c r="B13" s="13">
        <f>SUMIF(收入明细260410_1220[分类],"淘宝外卖",收入明细260410_1220[收入明细])</f>
        <v>14634.39</v>
      </c>
      <c r="C13" s="15">
        <f>$B$13/$B$3</f>
        <v>0.39009030693803265</v>
      </c>
    </row>
    <row r="14" spans="1:3" ht="25.15" customHeight="1" x14ac:dyDescent="0.15">
      <c r="A14" s="12" t="s">
        <v>61</v>
      </c>
      <c r="B14" s="13">
        <f>SUMIF(收入明细260410_1220[分类],"美团外卖",收入明细260410_1220[收入明细])</f>
        <v>13953.1</v>
      </c>
      <c r="C14" s="15">
        <f>$B$14/$B$3</f>
        <v>0.37193002658375673</v>
      </c>
    </row>
    <row r="15" spans="1:3" ht="25.15" customHeight="1" x14ac:dyDescent="0.15">
      <c r="A15" s="12" t="s">
        <v>135</v>
      </c>
      <c r="B15" s="13">
        <f>SUMIF(收入明细260410_1220[分类],"抖音来客",收入明细260410_1220[收入明细])</f>
        <v>46.9</v>
      </c>
      <c r="C15" s="15">
        <f>$B$15/$B$3</f>
        <v>1.2501536036277378E-3</v>
      </c>
    </row>
    <row r="16" spans="1:3" ht="25.15" customHeight="1" x14ac:dyDescent="0.15">
      <c r="A16" s="12" t="s">
        <v>62</v>
      </c>
      <c r="B16" s="13">
        <f>SUMIF(收入明细260410_1220[分类],"微信堂食",收入明细260410_1220[收入明细])</f>
        <v>3714.6</v>
      </c>
      <c r="C16" s="15">
        <f>$B$16/$B$3</f>
        <v>9.9015364094575592E-2</v>
      </c>
    </row>
    <row r="17" spans="1:3" ht="25.15" customHeight="1" x14ac:dyDescent="0.15">
      <c r="A17" s="12" t="s">
        <v>63</v>
      </c>
      <c r="B17" s="13">
        <f>SUMIF(收入明细260410_1220[分类],"支付宝堂食",收入明细260410_1220[收入明细])</f>
        <v>1395.26</v>
      </c>
      <c r="C17" s="15">
        <f>$B$17/$B$3</f>
        <v>3.7191669872017857E-2</v>
      </c>
    </row>
    <row r="18" spans="1:3" ht="25.15" customHeight="1" x14ac:dyDescent="0.15">
      <c r="A18" s="12" t="s">
        <v>64</v>
      </c>
      <c r="B18" s="13">
        <f>SUMIF(收入明细260410_1220[分类],"京东外卖",收入明细260410_1220[收入明细])</f>
        <v>3771.14</v>
      </c>
      <c r="C18" s="15">
        <f>$B$18/$B$3</f>
        <v>0.10052247890798949</v>
      </c>
    </row>
    <row r="19" spans="1:3" ht="25.15" customHeight="1" x14ac:dyDescent="0.15">
      <c r="A19" s="18" t="s">
        <v>65</v>
      </c>
      <c r="B19" s="19">
        <f>SUM(B13:B18)</f>
        <v>37515.39</v>
      </c>
      <c r="C19" s="20">
        <f>SUM($C$13:$C$18)</f>
        <v>1</v>
      </c>
    </row>
    <row r="20" spans="1:3" customFormat="1" ht="25.15" customHeight="1" x14ac:dyDescent="0.15">
      <c r="A20" s="21"/>
    </row>
    <row r="21" spans="1:3" customFormat="1" ht="25.15" customHeight="1" x14ac:dyDescent="0.15">
      <c r="A21" s="21"/>
    </row>
    <row r="22" spans="1:3" ht="25.15" customHeight="1" x14ac:dyDescent="0.15">
      <c r="A22" s="84" t="s">
        <v>66</v>
      </c>
      <c r="B22" s="78"/>
      <c r="C22" s="78"/>
    </row>
    <row r="23" spans="1:3" ht="25.15" customHeight="1" x14ac:dyDescent="0.15">
      <c r="A23" s="85" t="s">
        <v>67</v>
      </c>
      <c r="B23" s="80"/>
      <c r="C23" s="81"/>
    </row>
    <row r="24" spans="1:3" ht="25.15" customHeight="1" x14ac:dyDescent="0.15">
      <c r="A24" s="12" t="s">
        <v>25</v>
      </c>
      <c r="B24" s="13">
        <f>SUMIF(支出明细26049_1119[分类],"食材",支出明细26049_1119[支出明细])</f>
        <v>23219.970000000005</v>
      </c>
      <c r="C24" s="15">
        <f>$B$24/$B$4</f>
        <v>0.53314320469993215</v>
      </c>
    </row>
    <row r="25" spans="1:3" ht="25.15" customHeight="1" x14ac:dyDescent="0.15">
      <c r="A25" s="12" t="s">
        <v>68</v>
      </c>
      <c r="B25" s="13">
        <f>SUMIF(支出明细26049_1119[分类],"工资",支出明细26049_1119[支出明细])</f>
        <v>12000</v>
      </c>
      <c r="C25" s="15">
        <f>$B$25/$B$4</f>
        <v>0.27552655995676067</v>
      </c>
    </row>
    <row r="26" spans="1:3" ht="25.15" customHeight="1" x14ac:dyDescent="0.15">
      <c r="A26" s="12" t="s">
        <v>6</v>
      </c>
      <c r="B26" s="13">
        <f>SUMIF(支出明细26049_1119[分类],"房租",支出明细26049_1119[支出明细])</f>
        <v>4333</v>
      </c>
      <c r="C26" s="15">
        <f>$B$26/$B$4</f>
        <v>9.9488048691053668E-2</v>
      </c>
    </row>
    <row r="27" spans="1:3" ht="25.15" customHeight="1" x14ac:dyDescent="0.15">
      <c r="A27" s="12" t="s">
        <v>32</v>
      </c>
      <c r="B27" s="13">
        <f>SUMIF(支出明细26049_1119[分类],"推广",支出明细26049_1119[支出明细])</f>
        <v>0</v>
      </c>
      <c r="C27" s="15">
        <f>$B$27/$B$4</f>
        <v>0</v>
      </c>
    </row>
    <row r="28" spans="1:3" ht="25.15" customHeight="1" x14ac:dyDescent="0.15">
      <c r="A28" s="12" t="s">
        <v>37</v>
      </c>
      <c r="B28" s="13">
        <f>SUMIF(支出明细26049_1119[分类],"水电",支出明细26049_1119[支出明细])</f>
        <v>3000</v>
      </c>
      <c r="C28" s="15">
        <f>$B$28/$B$4</f>
        <v>6.8881639989190169E-2</v>
      </c>
    </row>
    <row r="29" spans="1:3" ht="25.15" customHeight="1" x14ac:dyDescent="0.15">
      <c r="A29" s="12" t="s">
        <v>14</v>
      </c>
      <c r="B29" s="13">
        <f>SUMIF(支出明细26049_1119[分类],"其他",支出明细26049_1119[支出明细])</f>
        <v>1000</v>
      </c>
      <c r="C29" s="15">
        <f>$B$29/$B$4</f>
        <v>2.2960546663063391E-2</v>
      </c>
    </row>
    <row r="30" spans="1:3" ht="25.15" customHeight="1" x14ac:dyDescent="0.15">
      <c r="A30" s="22" t="s">
        <v>65</v>
      </c>
      <c r="B30" s="23">
        <f>SUM(B24:B29)</f>
        <v>43552.97</v>
      </c>
      <c r="C30" s="24">
        <f>SUM($C$24:$C$29)</f>
        <v>1</v>
      </c>
    </row>
    <row r="33" spans="1:3" ht="25.15" customHeight="1" x14ac:dyDescent="0.15">
      <c r="A33" s="1" t="s">
        <v>69</v>
      </c>
      <c r="B33" s="25" t="s">
        <v>4</v>
      </c>
      <c r="C33" s="26" t="s">
        <v>5</v>
      </c>
    </row>
    <row r="34" spans="1:3" ht="25.15" customHeight="1" x14ac:dyDescent="0.15">
      <c r="A34" s="27">
        <v>3445.6</v>
      </c>
      <c r="B34" s="25" t="s">
        <v>62</v>
      </c>
      <c r="C34" s="26" t="s">
        <v>136</v>
      </c>
    </row>
    <row r="35" spans="1:3" ht="25.15" customHeight="1" x14ac:dyDescent="0.15">
      <c r="A35" s="27">
        <v>269</v>
      </c>
      <c r="B35" s="25" t="s">
        <v>62</v>
      </c>
      <c r="C35" s="26" t="s">
        <v>137</v>
      </c>
    </row>
    <row r="36" spans="1:3" ht="25.15" customHeight="1" x14ac:dyDescent="0.15">
      <c r="A36" s="27">
        <v>1395.26</v>
      </c>
      <c r="B36" s="25" t="s">
        <v>63</v>
      </c>
      <c r="C36" s="26"/>
    </row>
    <row r="37" spans="1:3" ht="25.15" customHeight="1" x14ac:dyDescent="0.15">
      <c r="A37" s="27">
        <v>3771.14</v>
      </c>
      <c r="B37" s="25" t="s">
        <v>64</v>
      </c>
      <c r="C37" s="26"/>
    </row>
    <row r="38" spans="1:3" ht="25.15" customHeight="1" x14ac:dyDescent="0.15">
      <c r="A38" s="27">
        <v>14634.39</v>
      </c>
      <c r="B38" s="25" t="s">
        <v>60</v>
      </c>
      <c r="C38" s="26"/>
    </row>
    <row r="39" spans="1:3" ht="25.15" customHeight="1" x14ac:dyDescent="0.15">
      <c r="A39" s="27">
        <v>13953.1</v>
      </c>
      <c r="B39" s="25" t="s">
        <v>61</v>
      </c>
      <c r="C39" s="26"/>
    </row>
    <row r="40" spans="1:3" ht="25.15" customHeight="1" x14ac:dyDescent="0.15">
      <c r="A40" s="1">
        <v>46.9</v>
      </c>
      <c r="B40" s="28" t="s">
        <v>135</v>
      </c>
      <c r="C40" s="29"/>
    </row>
    <row r="41" spans="1:3" ht="25.15" customHeight="1" x14ac:dyDescent="0.15">
      <c r="B41" s="28"/>
      <c r="C41" s="30"/>
    </row>
    <row r="42" spans="1:3" ht="25.15" customHeight="1" x14ac:dyDescent="0.15">
      <c r="B42" s="28"/>
      <c r="C42" s="30"/>
    </row>
    <row r="43" spans="1:3" ht="25.15" customHeight="1" x14ac:dyDescent="0.15">
      <c r="A43" s="1" t="s">
        <v>71</v>
      </c>
      <c r="B43" s="26" t="s">
        <v>4</v>
      </c>
      <c r="C43" s="26" t="s">
        <v>5</v>
      </c>
    </row>
    <row r="44" spans="1:3" ht="25.15" customHeight="1" x14ac:dyDescent="0.15">
      <c r="A44" s="1">
        <v>4333</v>
      </c>
      <c r="B44" s="26" t="s">
        <v>6</v>
      </c>
      <c r="C44" s="26" t="s">
        <v>72</v>
      </c>
    </row>
    <row r="45" spans="1:3" ht="25.15" customHeight="1" x14ac:dyDescent="0.15">
      <c r="A45" s="1">
        <v>12000</v>
      </c>
      <c r="B45" s="26" t="s">
        <v>68</v>
      </c>
      <c r="C45" s="26" t="s">
        <v>160</v>
      </c>
    </row>
    <row r="46" spans="1:3" ht="25.15" customHeight="1" x14ac:dyDescent="0.15">
      <c r="A46" s="1">
        <v>3000</v>
      </c>
      <c r="B46" s="26" t="s">
        <v>37</v>
      </c>
      <c r="C46" s="26" t="s">
        <v>160</v>
      </c>
    </row>
    <row r="47" spans="1:3" ht="25.15" customHeight="1" x14ac:dyDescent="0.15">
      <c r="A47" s="1">
        <v>1170</v>
      </c>
      <c r="B47" s="2" t="s">
        <v>25</v>
      </c>
      <c r="C47" s="2" t="s">
        <v>168</v>
      </c>
    </row>
    <row r="48" spans="1:3" ht="25.15" customHeight="1" x14ac:dyDescent="0.15">
      <c r="A48" s="1">
        <v>5802</v>
      </c>
      <c r="B48" s="2" t="s">
        <v>25</v>
      </c>
      <c r="C48" s="2" t="s">
        <v>197</v>
      </c>
    </row>
    <row r="49" spans="1:3" ht="25.15" customHeight="1" x14ac:dyDescent="0.15">
      <c r="A49" s="1">
        <v>2000</v>
      </c>
      <c r="B49" s="2" t="s">
        <v>25</v>
      </c>
      <c r="C49" s="2" t="s">
        <v>26</v>
      </c>
    </row>
    <row r="50" spans="1:3" ht="25.15" customHeight="1" x14ac:dyDescent="0.15">
      <c r="A50" s="1">
        <v>299.83</v>
      </c>
      <c r="B50" s="2" t="s">
        <v>25</v>
      </c>
      <c r="C50" s="2" t="s">
        <v>176</v>
      </c>
    </row>
    <row r="51" spans="1:3" ht="25.15" customHeight="1" x14ac:dyDescent="0.15">
      <c r="A51" s="1">
        <v>299.83</v>
      </c>
      <c r="B51" s="2" t="s">
        <v>25</v>
      </c>
      <c r="C51" s="2" t="s">
        <v>176</v>
      </c>
    </row>
    <row r="52" spans="1:3" ht="25.15" customHeight="1" x14ac:dyDescent="0.15">
      <c r="A52" s="1">
        <v>110.88</v>
      </c>
      <c r="B52" s="2" t="s">
        <v>25</v>
      </c>
      <c r="C52" s="2" t="s">
        <v>198</v>
      </c>
    </row>
    <row r="53" spans="1:3" ht="25.15" customHeight="1" x14ac:dyDescent="0.15">
      <c r="A53" s="1">
        <v>81.7</v>
      </c>
      <c r="B53" s="2" t="s">
        <v>25</v>
      </c>
      <c r="C53" s="2" t="s">
        <v>199</v>
      </c>
    </row>
    <row r="54" spans="1:3" ht="25.15" customHeight="1" x14ac:dyDescent="0.15">
      <c r="A54" s="1">
        <v>294.02999999999997</v>
      </c>
      <c r="B54" s="2" t="s">
        <v>25</v>
      </c>
      <c r="C54" s="2" t="s">
        <v>168</v>
      </c>
    </row>
    <row r="55" spans="1:3" ht="25.15" customHeight="1" x14ac:dyDescent="0.15">
      <c r="A55" s="1">
        <v>400</v>
      </c>
      <c r="B55" s="2" t="s">
        <v>25</v>
      </c>
      <c r="C55" s="2" t="s">
        <v>182</v>
      </c>
    </row>
    <row r="56" spans="1:3" ht="25.15" customHeight="1" x14ac:dyDescent="0.15">
      <c r="A56" s="1">
        <v>2382</v>
      </c>
      <c r="B56" s="2" t="s">
        <v>25</v>
      </c>
      <c r="C56" s="2" t="s">
        <v>172</v>
      </c>
    </row>
    <row r="57" spans="1:3" ht="25.15" customHeight="1" x14ac:dyDescent="0.15">
      <c r="A57" s="1">
        <v>500</v>
      </c>
      <c r="B57" s="2" t="s">
        <v>14</v>
      </c>
      <c r="C57" s="2" t="s">
        <v>200</v>
      </c>
    </row>
    <row r="58" spans="1:3" ht="25.15" customHeight="1" x14ac:dyDescent="0.15">
      <c r="A58" s="1">
        <v>500</v>
      </c>
      <c r="B58" s="2" t="s">
        <v>14</v>
      </c>
      <c r="C58" s="2" t="s">
        <v>163</v>
      </c>
    </row>
    <row r="59" spans="1:3" ht="25.15" customHeight="1" x14ac:dyDescent="0.15">
      <c r="A59" s="1">
        <v>5610</v>
      </c>
      <c r="B59" s="2" t="s">
        <v>25</v>
      </c>
      <c r="C59" s="2" t="s">
        <v>172</v>
      </c>
    </row>
    <row r="60" spans="1:3" ht="25.15" customHeight="1" x14ac:dyDescent="0.15">
      <c r="A60" s="1">
        <v>1304</v>
      </c>
      <c r="B60" s="2" t="s">
        <v>25</v>
      </c>
      <c r="C60" s="2" t="s">
        <v>168</v>
      </c>
    </row>
    <row r="61" spans="1:3" ht="25.15" customHeight="1" x14ac:dyDescent="0.15">
      <c r="A61" s="1">
        <v>39.9</v>
      </c>
      <c r="B61" s="2" t="s">
        <v>25</v>
      </c>
      <c r="C61" s="2" t="s">
        <v>174</v>
      </c>
    </row>
    <row r="62" spans="1:3" ht="25.15" customHeight="1" x14ac:dyDescent="0.15">
      <c r="A62" s="1">
        <v>592.52</v>
      </c>
      <c r="B62" s="2" t="s">
        <v>25</v>
      </c>
      <c r="C62" s="86" t="s">
        <v>201</v>
      </c>
    </row>
    <row r="63" spans="1:3" ht="25.15" customHeight="1" x14ac:dyDescent="0.15">
      <c r="A63" s="1">
        <v>110.88</v>
      </c>
      <c r="B63" s="2" t="s">
        <v>25</v>
      </c>
      <c r="C63" s="86" t="s">
        <v>202</v>
      </c>
    </row>
    <row r="64" spans="1:3" ht="25.15" customHeight="1" x14ac:dyDescent="0.15">
      <c r="A64" s="1">
        <v>163.4</v>
      </c>
      <c r="B64" s="2" t="s">
        <v>25</v>
      </c>
      <c r="C64" s="86" t="s">
        <v>203</v>
      </c>
    </row>
    <row r="65" spans="1:3" ht="25.15" customHeight="1" x14ac:dyDescent="0.15">
      <c r="A65" s="1">
        <v>59</v>
      </c>
      <c r="B65" s="2" t="s">
        <v>25</v>
      </c>
      <c r="C65" s="86" t="s">
        <v>204</v>
      </c>
    </row>
    <row r="66" spans="1:3" ht="25.15" customHeight="1" x14ac:dyDescent="0.15">
      <c r="A66" s="1">
        <v>2500</v>
      </c>
      <c r="B66" s="2" t="s">
        <v>25</v>
      </c>
      <c r="C66" s="86" t="s">
        <v>205</v>
      </c>
    </row>
  </sheetData>
  <mergeCells count="4">
    <mergeCell ref="A1:C1"/>
    <mergeCell ref="A11:C11"/>
    <mergeCell ref="A22:C22"/>
    <mergeCell ref="A23:C23"/>
  </mergeCells>
  <phoneticPr fontId="7" type="noConversion"/>
  <dataValidations count="1">
    <dataValidation type="list" allowBlank="1" showInputMessage="1" showErrorMessage="1" sqref="B2:B7 B44:B66" xr:uid="{00000000-0002-0000-0600-000000000000}">
      <formula1>"房租,其他,食材,推广,水电,工资"</formula1>
    </dataValidation>
  </dataValidations>
  <pageMargins left="0.7" right="0.7" top="0.75" bottom="0.75" header="0.3" footer="0.3"/>
  <pageSetup paperSize="9" orientation="portrait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/>
  </sheetPr>
  <dimension ref="A1:C48"/>
  <sheetViews>
    <sheetView workbookViewId="0">
      <selection activeCell="D35" sqref="D35"/>
    </sheetView>
  </sheetViews>
  <sheetFormatPr defaultColWidth="30.625" defaultRowHeight="25.15" customHeight="1" x14ac:dyDescent="0.15"/>
  <cols>
    <col min="1" max="1" width="30.625" style="1" customWidth="1"/>
    <col min="2" max="2" width="30.625" style="2" customWidth="1"/>
    <col min="3" max="16384" width="30.625" style="2"/>
  </cols>
  <sheetData>
    <row r="1" spans="1:3" ht="25.15" customHeight="1" x14ac:dyDescent="0.15">
      <c r="A1" s="82" t="s">
        <v>44</v>
      </c>
      <c r="B1" s="70"/>
      <c r="C1" s="70"/>
    </row>
    <row r="2" spans="1:3" ht="25.15" customHeight="1" x14ac:dyDescent="0.15">
      <c r="A2" s="4" t="s">
        <v>45</v>
      </c>
      <c r="B2" s="5" t="s">
        <v>46</v>
      </c>
      <c r="C2" s="5" t="s">
        <v>47</v>
      </c>
    </row>
    <row r="3" spans="1:3" ht="25.15" customHeight="1" x14ac:dyDescent="0.15">
      <c r="A3" s="6" t="s">
        <v>48</v>
      </c>
      <c r="B3" s="7">
        <f>SUM(收入明细260410_122013[收入明细])</f>
        <v>0</v>
      </c>
      <c r="C3" s="8" t="s">
        <v>49</v>
      </c>
    </row>
    <row r="4" spans="1:3" ht="25.15" customHeight="1" x14ac:dyDescent="0.15">
      <c r="A4" s="9" t="s">
        <v>50</v>
      </c>
      <c r="B4" s="10">
        <f>SUM(支出明细26049_111914[支出明细])</f>
        <v>26305</v>
      </c>
      <c r="C4" s="11" t="s">
        <v>49</v>
      </c>
    </row>
    <row r="5" spans="1:3" ht="25.15" customHeight="1" x14ac:dyDescent="0.15">
      <c r="A5" s="12" t="s">
        <v>51</v>
      </c>
      <c r="B5" s="13">
        <f>$B$3-SUMIF(支出明细26049_111914[分类],"食材",支出明细26049_111914[支出明细])</f>
        <v>-6972</v>
      </c>
      <c r="C5" s="14" t="s">
        <v>49</v>
      </c>
    </row>
    <row r="6" spans="1:3" ht="25.15" customHeight="1" x14ac:dyDescent="0.15">
      <c r="A6" s="12" t="s">
        <v>52</v>
      </c>
      <c r="B6" s="13">
        <f>$B$3-$B$4</f>
        <v>-26305</v>
      </c>
      <c r="C6" s="14" t="s">
        <v>49</v>
      </c>
    </row>
    <row r="7" spans="1:3" ht="25.15" customHeight="1" x14ac:dyDescent="0.15">
      <c r="A7" s="12" t="s">
        <v>53</v>
      </c>
      <c r="B7" s="15" t="e">
        <f>$B$5/$B$3</f>
        <v>#DIV/0!</v>
      </c>
      <c r="C7" s="14" t="s">
        <v>54</v>
      </c>
    </row>
    <row r="8" spans="1:3" ht="25.15" customHeight="1" x14ac:dyDescent="0.15">
      <c r="A8" s="12" t="s">
        <v>55</v>
      </c>
      <c r="B8" s="15" t="e">
        <f>$B$6/$B$3</f>
        <v>#DIV/0!</v>
      </c>
      <c r="C8" s="14" t="s">
        <v>54</v>
      </c>
    </row>
    <row r="9" spans="1:3" ht="25.15" customHeight="1" x14ac:dyDescent="0.15">
      <c r="B9" s="3"/>
      <c r="C9" s="3"/>
    </row>
    <row r="10" spans="1:3" ht="25.15" customHeight="1" x14ac:dyDescent="0.15">
      <c r="B10" s="3"/>
      <c r="C10" s="3"/>
    </row>
    <row r="11" spans="1:3" ht="25.15" customHeight="1" x14ac:dyDescent="0.15">
      <c r="A11" s="83" t="s">
        <v>56</v>
      </c>
      <c r="B11" s="70"/>
      <c r="C11" s="70"/>
    </row>
    <row r="12" spans="1:3" ht="25.15" customHeight="1" x14ac:dyDescent="0.15">
      <c r="A12" s="16" t="s">
        <v>57</v>
      </c>
      <c r="B12" s="17" t="s">
        <v>58</v>
      </c>
      <c r="C12" s="17" t="s">
        <v>59</v>
      </c>
    </row>
    <row r="13" spans="1:3" ht="25.15" customHeight="1" x14ac:dyDescent="0.15">
      <c r="A13" s="12" t="s">
        <v>60</v>
      </c>
      <c r="B13" s="13">
        <f>SUMIF(收入明细260410_122013[分类],"淘宝外卖",收入明细260410_122013[收入明细])</f>
        <v>0</v>
      </c>
      <c r="C13" s="15" t="e">
        <f>$B$13/$B$3</f>
        <v>#DIV/0!</v>
      </c>
    </row>
    <row r="14" spans="1:3" ht="25.15" customHeight="1" x14ac:dyDescent="0.15">
      <c r="A14" s="12" t="s">
        <v>61</v>
      </c>
      <c r="B14" s="13">
        <f>SUMIF(收入明细260410_122013[分类],"美团外卖",收入明细260410_122013[收入明细])</f>
        <v>0</v>
      </c>
      <c r="C14" s="15" t="e">
        <f>$B$14/$B$3</f>
        <v>#DIV/0!</v>
      </c>
    </row>
    <row r="15" spans="1:3" ht="25.15" customHeight="1" x14ac:dyDescent="0.15">
      <c r="A15" s="12" t="s">
        <v>135</v>
      </c>
      <c r="B15" s="13">
        <f>SUMIF(收入明细260410_122013[分类],"抖音来客",收入明细260410_122013[收入明细])</f>
        <v>0</v>
      </c>
      <c r="C15" s="15" t="e">
        <f>$B$15/$B$3</f>
        <v>#DIV/0!</v>
      </c>
    </row>
    <row r="16" spans="1:3" ht="25.15" customHeight="1" x14ac:dyDescent="0.15">
      <c r="A16" s="12" t="s">
        <v>62</v>
      </c>
      <c r="B16" s="13">
        <f>SUMIF(收入明细260410_122013[分类],"微信堂食",收入明细260410_122013[收入明细])</f>
        <v>0</v>
      </c>
      <c r="C16" s="15" t="e">
        <f>$B$16/$B$3</f>
        <v>#DIV/0!</v>
      </c>
    </row>
    <row r="17" spans="1:3" ht="25.15" customHeight="1" x14ac:dyDescent="0.15">
      <c r="A17" s="12" t="s">
        <v>63</v>
      </c>
      <c r="B17" s="13">
        <f>SUMIF(收入明细260410_122013[分类],"支付宝堂食",收入明细260410_122013[收入明细])</f>
        <v>0</v>
      </c>
      <c r="C17" s="15" t="e">
        <f>$B$17/$B$3</f>
        <v>#DIV/0!</v>
      </c>
    </row>
    <row r="18" spans="1:3" ht="25.15" customHeight="1" x14ac:dyDescent="0.15">
      <c r="A18" s="12" t="s">
        <v>64</v>
      </c>
      <c r="B18" s="13">
        <f>SUMIF(收入明细260410_122013[分类],"京东外卖",收入明细260410_122013[收入明细])</f>
        <v>0</v>
      </c>
      <c r="C18" s="15" t="e">
        <f>$B$18/$B$3</f>
        <v>#DIV/0!</v>
      </c>
    </row>
    <row r="19" spans="1:3" ht="25.15" customHeight="1" x14ac:dyDescent="0.15">
      <c r="A19" s="18" t="s">
        <v>65</v>
      </c>
      <c r="B19" s="19">
        <f>SUM(B13:B18)</f>
        <v>0</v>
      </c>
      <c r="C19" s="20" t="e">
        <f>SUM($C$13:$C$18)</f>
        <v>#DIV/0!</v>
      </c>
    </row>
    <row r="20" spans="1:3" customFormat="1" ht="25.15" customHeight="1" x14ac:dyDescent="0.15">
      <c r="A20" s="21"/>
    </row>
    <row r="21" spans="1:3" customFormat="1" ht="25.15" customHeight="1" x14ac:dyDescent="0.15">
      <c r="A21" s="21"/>
    </row>
    <row r="22" spans="1:3" ht="25.15" customHeight="1" x14ac:dyDescent="0.15">
      <c r="A22" s="84" t="s">
        <v>66</v>
      </c>
      <c r="B22" s="78"/>
      <c r="C22" s="78"/>
    </row>
    <row r="23" spans="1:3" ht="25.15" customHeight="1" x14ac:dyDescent="0.15">
      <c r="A23" s="85" t="s">
        <v>67</v>
      </c>
      <c r="B23" s="80"/>
      <c r="C23" s="81"/>
    </row>
    <row r="24" spans="1:3" ht="25.15" customHeight="1" x14ac:dyDescent="0.15">
      <c r="A24" s="12" t="s">
        <v>25</v>
      </c>
      <c r="B24" s="13">
        <f>SUMIF(支出明细26049_111914[分类],"食材",支出明细26049_111914[支出明细])</f>
        <v>6972</v>
      </c>
      <c r="C24" s="15">
        <f>$B$24/$B$4</f>
        <v>0.26504466831400875</v>
      </c>
    </row>
    <row r="25" spans="1:3" ht="25.15" customHeight="1" x14ac:dyDescent="0.15">
      <c r="A25" s="12" t="s">
        <v>68</v>
      </c>
      <c r="B25" s="13">
        <f>SUMIF(支出明细26049_111914[分类],"工资",支出明细26049_111914[支出明细])</f>
        <v>12000</v>
      </c>
      <c r="C25" s="15">
        <f>$B$25/$B$4</f>
        <v>0.45618703668504085</v>
      </c>
    </row>
    <row r="26" spans="1:3" ht="25.15" customHeight="1" x14ac:dyDescent="0.15">
      <c r="A26" s="12" t="s">
        <v>6</v>
      </c>
      <c r="B26" s="13">
        <f>SUMIF(支出明细26049_111914[分类],"房租",支出明细26049_111914[支出明细])</f>
        <v>4333</v>
      </c>
      <c r="C26" s="15">
        <f>$B$26/$B$4</f>
        <v>0.16472153582969018</v>
      </c>
    </row>
    <row r="27" spans="1:3" ht="25.15" customHeight="1" x14ac:dyDescent="0.15">
      <c r="A27" s="12" t="s">
        <v>32</v>
      </c>
      <c r="B27" s="13">
        <f>SUMIF(支出明细26049_111914[分类],"推广",支出明细26049_111914[支出明细])</f>
        <v>0</v>
      </c>
      <c r="C27" s="15">
        <f>$B$27/$B$4</f>
        <v>0</v>
      </c>
    </row>
    <row r="28" spans="1:3" ht="25.15" customHeight="1" x14ac:dyDescent="0.15">
      <c r="A28" s="12" t="s">
        <v>37</v>
      </c>
      <c r="B28" s="13">
        <f>SUMIF(支出明细26049_111914[分类],"水电",支出明细26049_111914[支出明细])</f>
        <v>3000</v>
      </c>
      <c r="C28" s="15">
        <f>$B$28/$B$4</f>
        <v>0.11404675917126021</v>
      </c>
    </row>
    <row r="29" spans="1:3" ht="25.15" customHeight="1" x14ac:dyDescent="0.15">
      <c r="A29" s="12" t="s">
        <v>14</v>
      </c>
      <c r="B29" s="13">
        <f>SUMIF(支出明细26049_111914[分类],"其他",支出明细26049_111914[支出明细])</f>
        <v>0</v>
      </c>
      <c r="C29" s="15">
        <f>$B$29/$B$4</f>
        <v>0</v>
      </c>
    </row>
    <row r="30" spans="1:3" ht="25.15" customHeight="1" x14ac:dyDescent="0.15">
      <c r="A30" s="22" t="s">
        <v>65</v>
      </c>
      <c r="B30" s="23">
        <f>SUM(B24:B29)</f>
        <v>26305</v>
      </c>
      <c r="C30" s="24">
        <f>SUM($C$24:$C$29)</f>
        <v>0.99999999999999989</v>
      </c>
    </row>
    <row r="33" spans="1:3" ht="25.15" customHeight="1" x14ac:dyDescent="0.15">
      <c r="A33" s="1" t="s">
        <v>69</v>
      </c>
      <c r="B33" s="25" t="s">
        <v>4</v>
      </c>
      <c r="C33" s="26" t="s">
        <v>5</v>
      </c>
    </row>
    <row r="34" spans="1:3" ht="25.15" customHeight="1" x14ac:dyDescent="0.15">
      <c r="A34" s="27">
        <v>0</v>
      </c>
      <c r="B34" s="25" t="s">
        <v>62</v>
      </c>
      <c r="C34" s="26" t="s">
        <v>136</v>
      </c>
    </row>
    <row r="35" spans="1:3" ht="25.15" customHeight="1" x14ac:dyDescent="0.15">
      <c r="A35" s="27">
        <v>0</v>
      </c>
      <c r="B35" s="25" t="s">
        <v>62</v>
      </c>
      <c r="C35" s="26" t="s">
        <v>137</v>
      </c>
    </row>
    <row r="36" spans="1:3" ht="25.15" customHeight="1" x14ac:dyDescent="0.15">
      <c r="A36" s="27">
        <v>0</v>
      </c>
      <c r="B36" s="25" t="s">
        <v>63</v>
      </c>
      <c r="C36" s="26"/>
    </row>
    <row r="37" spans="1:3" ht="25.15" customHeight="1" x14ac:dyDescent="0.15">
      <c r="A37" s="27">
        <v>0</v>
      </c>
      <c r="B37" s="25" t="s">
        <v>64</v>
      </c>
      <c r="C37" s="26"/>
    </row>
    <row r="38" spans="1:3" ht="25.15" customHeight="1" x14ac:dyDescent="0.15">
      <c r="A38" s="27">
        <v>0</v>
      </c>
      <c r="B38" s="25" t="s">
        <v>60</v>
      </c>
      <c r="C38" s="26"/>
    </row>
    <row r="39" spans="1:3" ht="25.15" customHeight="1" x14ac:dyDescent="0.15">
      <c r="A39" s="27">
        <v>0</v>
      </c>
      <c r="B39" s="25" t="s">
        <v>61</v>
      </c>
      <c r="C39" s="26"/>
    </row>
    <row r="40" spans="1:3" ht="25.15" customHeight="1" x14ac:dyDescent="0.15">
      <c r="A40" s="1">
        <v>0</v>
      </c>
      <c r="B40" s="28" t="s">
        <v>135</v>
      </c>
      <c r="C40" s="29"/>
    </row>
    <row r="41" spans="1:3" ht="25.15" customHeight="1" x14ac:dyDescent="0.15">
      <c r="B41" s="28"/>
      <c r="C41" s="30"/>
    </row>
    <row r="42" spans="1:3" ht="25.15" customHeight="1" x14ac:dyDescent="0.15">
      <c r="B42" s="28"/>
      <c r="C42" s="30"/>
    </row>
    <row r="43" spans="1:3" ht="25.15" customHeight="1" x14ac:dyDescent="0.15">
      <c r="A43" s="1" t="s">
        <v>71</v>
      </c>
      <c r="B43" s="26" t="s">
        <v>4</v>
      </c>
      <c r="C43" s="26" t="s">
        <v>5</v>
      </c>
    </row>
    <row r="44" spans="1:3" ht="25.15" customHeight="1" x14ac:dyDescent="0.15">
      <c r="A44" s="1">
        <v>4333</v>
      </c>
      <c r="B44" s="26" t="s">
        <v>6</v>
      </c>
      <c r="C44" s="26" t="s">
        <v>72</v>
      </c>
    </row>
    <row r="45" spans="1:3" ht="25.15" customHeight="1" x14ac:dyDescent="0.15">
      <c r="A45" s="1">
        <v>12000</v>
      </c>
      <c r="B45" s="26" t="s">
        <v>68</v>
      </c>
      <c r="C45" s="26" t="s">
        <v>160</v>
      </c>
    </row>
    <row r="46" spans="1:3" ht="25.15" customHeight="1" x14ac:dyDescent="0.15">
      <c r="A46" s="1">
        <v>3000</v>
      </c>
      <c r="B46" s="26" t="s">
        <v>37</v>
      </c>
      <c r="C46" s="26" t="s">
        <v>160</v>
      </c>
    </row>
    <row r="47" spans="1:3" ht="25.15" customHeight="1" x14ac:dyDescent="0.15">
      <c r="A47" s="1">
        <v>1170</v>
      </c>
      <c r="B47" s="2" t="s">
        <v>25</v>
      </c>
      <c r="C47" s="2" t="s">
        <v>168</v>
      </c>
    </row>
    <row r="48" spans="1:3" ht="25.15" customHeight="1" x14ac:dyDescent="0.15">
      <c r="A48" s="1">
        <v>5802</v>
      </c>
      <c r="B48" s="2" t="s">
        <v>25</v>
      </c>
      <c r="C48" s="2" t="s">
        <v>197</v>
      </c>
    </row>
  </sheetData>
  <mergeCells count="4">
    <mergeCell ref="A1:C1"/>
    <mergeCell ref="A11:C11"/>
    <mergeCell ref="A22:C22"/>
    <mergeCell ref="A23:C23"/>
  </mergeCells>
  <phoneticPr fontId="7" type="noConversion"/>
  <dataValidations count="1">
    <dataValidation type="list" allowBlank="1" showInputMessage="1" showErrorMessage="1" sqref="B47 B48 B2:B7 B44:B46" xr:uid="{00000000-0002-0000-0700-000000000000}">
      <formula1>"房租,其他,食材,推广,水电,工资"</formula1>
    </dataValidation>
  </dataValidations>
  <pageMargins left="0.7" right="0.7" top="0.75" bottom="0.75" header="0.3" footer="0.3"/>
  <pageSetup paperSize="9" orientation="portrait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开店成本清单</vt:lpstr>
      <vt:lpstr>2026-02流水</vt:lpstr>
      <vt:lpstr>2026-03流水</vt:lpstr>
      <vt:lpstr>2026-04流水</vt:lpstr>
      <vt:lpstr>2026-05流水</vt:lpstr>
      <vt:lpstr>2026-06流水</vt:lpstr>
      <vt:lpstr>2026-07流水</vt:lpstr>
      <vt:lpstr>2026-08流水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Lebert John</cp:lastModifiedBy>
  <dcterms:created xsi:type="dcterms:W3CDTF">2026-03-06T11:28:00Z</dcterms:created>
  <dcterms:modified xsi:type="dcterms:W3CDTF">2026-08-01T08:26:46Z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