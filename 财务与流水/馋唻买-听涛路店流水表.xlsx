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tabRatio="723" firstSheet="1" activeTab="5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<sst xmlns="http://schemas.openxmlformats.org/spreadsheetml/2006/main" count="801" uniqueCount="198">
  <si>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</si>
  <si>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</si>
  <si>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</si>
  <si>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</si>
  <si>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</si>
  <si>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</si>
  <si>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</si>
  <si>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</si>
  <si>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</si>
  <si>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</si>
  <si>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</si>
  <si>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</si>
  <si>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</si>
  <si>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</si>
  <si>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</si>
  <si>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</si>
  <si>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</si>
  <si>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</si>
  <si>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</si>
  <si>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</si>
  <si>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</si>
  <si>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</si>
  <si>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</si>
  <si>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</si>
  <si>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</si>
  <si>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</si>
  <si>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</si>
  <si>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</si>
  <si>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</si>
  <si>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</si>
  <si>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</si>
  <si>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</si>
  <si>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</si>
  <si>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</si>
  <si>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</si>
  <si>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</si>
  <si>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</si>
  <si>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</si>
  <si>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</si>
  <si>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</si>
  <si>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</si>
  <si>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</si>
  <si>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</si>
  <si>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</si>
  <si>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</si>
  <si>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</si>
  <si>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</si>
  <si>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</si>
  <si>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</si>
  <si>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</si>
  <si>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</si>
  <si>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</si>
  <si>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</si>
  <si>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</si>
  <si>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</si>
  <si>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</si>
  <si>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</si>
  <si>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</si>
  <si>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</si>
  <si>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</si>
  <si>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</si>
  <si>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</si>
  <si>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</si>
  <si>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</si>
  <si>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</si>
  <si>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</si>
  <si>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</si>
  <si>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</si>
  <si>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</si>
  <si>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</si>
  <si>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</si>
  <si>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</si>
  <si>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</si>
  <si>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</si>
  <si>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</si>
  <si>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</si>
  <si>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</si>
  <si>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</si>
  <si>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</si>
  <si>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</si>
  <si>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</si>
  <si>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</si>
  <si>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</si>
  <si>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</si>
  <si>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</si>
  <si>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</si>
  <si>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</si>
  <si>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</si>
  <si>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</si>
  <si>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</si>
  <si>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</si>
  <si>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</si>
  <si>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</si>
  <si>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</si>
  <si>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</si>
  <si>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</si>
  <si>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</si>
  <si>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</si>
  <si>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</si>
  <si>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</si>
  <si>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</si>
  <si>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</si>
  <si>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</si>
  <si>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</si>
  <si>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</si>
  <si>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</si>
  <si>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</si>
  <si>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</si>
  <si>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</si>
  <si>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</si>
  <si>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</si>
  <si>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</si>
  <si>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</si>
  <si>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</si>
  <si>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</si>
  <si>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</si>
  <si>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</si>
  <si>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</si>
  <si>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</si>
  <si>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</si>
  <si>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</si>
  <si>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</si>
  <si>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</si>
  <si>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</si>
  <si>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</si>
  <si>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</si>
  <si>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</si>
  <si>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</si>
  <si>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</si>
  <si>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</si>
  <si>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</si>
  <si>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</si>
  <si>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</si>
  <si>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</si>
  <si>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</si>
  <si>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</si>
  <si>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</si>
  <si>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</si>
  <si>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</si>
  <si>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</si>
  <si>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</si>
  <si>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</si>
  <si>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</si>
  <si>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</si>
  <si>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</si>
  <si>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</si>
  <si>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</si>
  <si>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</si>
  <si>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</si>
  <si>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</si>
  <si>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</si>
  <si>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</si>
  <si>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</si>
  <si>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</si>
  <si>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</si>
  <si>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</si>
  <si>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</si>
  <si>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</si>
  <si>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</si>
  <si>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</si>
  <si>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</si>
  <si>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</si>
  <si>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</si>
  <si>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</si>
  <si>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</si>
  <si>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</si>
  <si>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</si>
  <si>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</si>
  <si>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</si>
  <si>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</si>
  <si>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</si>
  <si>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</si>
  <si>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</si>
  <si>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</si>
  <si>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</si>
  <si>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</si>
  <si>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</si>
  <si>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</si>
  <si>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</si>
  <si>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</si>
  <si>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</si>
  <si>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</si>
  <si>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</si>
  <si>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</si>
  <si>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</si>
  <si>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</si>
  <si>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</si>
  <si>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</si>
  <si>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</si>
  <si>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</si>
  <si>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</si>
  <si>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</si>
  <si>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</si>
  <si>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</si>
  <si>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</si>
  <si>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</si>
  <si>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老池垫付部分</t>
  </si>
  <si>
    <t>肉片第一次进货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</si>
</sst>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41" formatCode="_ * #,##0_ ;_ * \-#,##0_ ;_ * &quot;-&quot;_ ;_ @_ "/>
    <numFmt numFmtId="178" formatCode="0.00_ ;[Red]\-0.00\ "/>
    <numFmt numFmtId="42" formatCode="_ &quot;￥&quot;* #,##0_ ;_ &quot;￥&quot;* \-#,##0_ ;_ &quot;￥&quot;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7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25" fillId="42" borderId="9" applyNumberFormat="0" applyAlignment="0" applyProtection="0">
      <alignment vertical="center"/>
    </xf>
    <xf numFmtId="0" fontId="11" fillId="38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8" fillId="25" borderId="9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20" fillId="26" borderId="11" applyNumberFormat="0" applyAlignment="0" applyProtection="0">
      <alignment vertical="center"/>
    </xf>
    <xf numFmtId="0" fontId="19" fillId="25" borderId="10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4" fontId="5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8" customWidth="1"/>
    <col min="2" max="2" width="30.6634615384615" style="79" customWidth="1"/>
    <col min="3" max="3" width="30.6634615384615" style="80" customWidth="1"/>
    <col min="4" max="4" width="30.6634615384615" style="79" customWidth="1"/>
    <col min="5" max="16384" width="30.663461538461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8" customWidth="1"/>
    <col min="3" max="3" width="30.6634615384615" style="49" customWidth="1"/>
    <col min="4" max="4" width="30.6634615384615" style="48" customWidth="1"/>
    <col min="5" max="16384" width="30.663461538461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SUM(B13:B17)</f>
        <v>50429.93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abSelected="1" topLeftCell="A12" workbookViewId="0">
      <selection activeCell="A57" sqref="A5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40066.83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18.7699999999968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0.000468247949388229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0.478985485000935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0.29949961102488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0.1081443178809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0.0335040231533166</v>
      </c>
    </row>
    <row r="28" customHeight="1" spans="1:3">
      <c r="A28" s="13" t="s">
        <v>37</v>
      </c>
      <c r="B28" s="14">
        <f>SUMIF(支出明细26049_11[分类],"水电",支出明细26049_11[支出明细])</f>
        <v>3000</v>
      </c>
      <c r="C28" s="16">
        <f>$B$28/$B$4</f>
        <v>0.07487490275622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0.004991660183748</v>
      </c>
    </row>
    <row r="30" customHeight="1" spans="1:3">
      <c r="A30" s="29" t="s">
        <v>65</v>
      </c>
      <c r="B30" s="30">
        <f>SUM(B24:B29)</f>
        <v>40066.83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8" t="s">
        <v>160</v>
      </c>
    </row>
    <row r="46" customHeight="1" spans="1:3">
      <c r="A46" s="1">
        <v>3000</v>
      </c>
      <c r="B46" s="33" t="s">
        <v>37</v>
      </c>
      <c r="C46" s="38" t="s">
        <v>160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8" workbookViewId="0">
      <selection activeCell="A8" sqref="A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2026-03-05T03:28:00Z</dcterms:created>
  <dcterms:modified xsi:type="dcterms:W3CDTF">2026-07-01T11:53:26Z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