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00" activeTab="2"/>
  </bookViews>
  <sheets>
    <sheet name="开店成本清单" sheetId="1" r:id="rId1"/>
    <sheet name="2026-02流水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<sst xmlns="http://schemas.openxmlformats.org/spreadsheetml/2006/main" count="429" uniqueCount="149">
  <si>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</si>
  <si>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</si>
  <si>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</si>
  <si>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</si>
  <si>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</si>
  <si>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</si>
  <si>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</si>
  <si>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</si>
  <si>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</si>
  <si>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</si>
  <si>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</si>
  <si>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</si>
  <si>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</si>
  <si>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</si>
  <si>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</si>
  <si>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</si>
  <si>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</si>
  <si>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</si>
  <si>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</si>
  <si>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</si>
  <si>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</si>
  <si>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</si>
  <si>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</si>
  <si>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</si>
  <si>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</si>
  <si>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</si>
  <si>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</si>
  <si>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</si>
  <si>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</si>
  <si>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</si>
  <si>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</si>
  <si>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</si>
  <si>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</si>
  <si>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</si>
  <si>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</si>
  <si>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</si>
  <si>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</si>
  <si>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</si>
  <si>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</si>
  <si>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</si>
  <si>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</si>
  <si>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</si>
  <si>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</si>
  <si>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</si>
  <si>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</si>
  <si>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</si>
  <si>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</si>
  <si>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</si>
  <si>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</si>
  <si>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</si>
  <si>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</si>
  <si>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</si>
  <si>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</si>
  <si>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</si>
  <si>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</si>
  <si>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</si>
  <si>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</si>
  <si>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</si>
  <si>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</si>
  <si>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</si>
  <si>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</si>
  <si>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</si>
  <si>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</si>
  <si>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</si>
  <si>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</si>
  <si>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</si>
  <si>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</si>
  <si>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</si>
  <si>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</si>
  <si>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</si>
  <si>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</si>
  <si>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</si>
  <si>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</si>
  <si>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</si>
  <si>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</si>
  <si>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</si>
  <si>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</si>
  <si>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</si>
  <si>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</si>
  <si>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</si>
  <si>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</si>
  <si>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</si>
  <si>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</si>
  <si>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</si>
  <si>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</si>
  <si>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</si>
  <si>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</si>
  <si>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</si>
  <si>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</si>
  <si>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</si>
  <si>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</si>
  <si>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</si>
  <si>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</si>
  <si>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</si>
  <si>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</si>
  <si>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</si>
  <si>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</si>
  <si>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</si>
  <si>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</si>
  <si>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</si>
  <si>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</si>
  <si>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</si>
  <si>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</si>
  <si>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</si>
  <si>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</si>
  <si>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</si>
  <si>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</si>
  <si>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</si>
  <si>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</si>
  <si>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</si>
  <si>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</si>
  <si>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</si>
  <si>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</si>
  <si>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</si>
  <si>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</si>
  <si>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</si>
  <si>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</si>
  <si>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</si>
  <si>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</si>
  <si>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</si>
  <si>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</si>
  <si>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</si>
  <si>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</si>
  <si>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</si>
  <si>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</si>
  <si>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</si>
  <si>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</si>
  <si>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</si>
  <si>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</si>
  <si>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</si>
  <si>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</si>
  <si>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</si>
  <si>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</si>
  <si>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</si>
  <si>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</si>
  <si>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</si>
  <si>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暂未支付</t>
  </si>
  <si>
    <t>硕美进货，肉片500斤4000，小笼包50斤550，肉燕50斤900，牛肉羹50斤850，调味料60，运费195，2555货品算到3月用</t>
  </si>
  <si>
    <t>调味品：味素+味精</t>
  </si>
  <si>
    <t>快驴首充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</si>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</sst>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178" formatCode="0.00_ ;[Red]\-0.00\ "/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0" fillId="42" borderId="0">
      <alignment vertical="center"/>
    </xf>
    <xf numFmtId="0" fontId="7" fillId="41" borderId="0">
      <alignment vertical="center"/>
    </xf>
    <xf numFmtId="0" fontId="10" fillId="33" borderId="0">
      <alignment vertical="center"/>
    </xf>
    <xf numFmtId="0" fontId="20" fillId="24" borderId="10">
      <alignment vertical="center"/>
    </xf>
    <xf numFmtId="0" fontId="7" fillId="27" borderId="0">
      <alignment vertical="center"/>
    </xf>
    <xf numFmtId="0" fontId="7" fillId="23" borderId="0">
      <alignment vertical="center"/>
    </xf>
    <xf numFmtId="44" fontId="0" fillId="0" borderId="0">
      <alignment vertical="center"/>
    </xf>
    <xf numFmtId="0" fontId="10" fillId="35" borderId="0">
      <alignment vertical="center"/>
    </xf>
    <xf numFmtId="9" fontId="0" fillId="0" borderId="0">
      <alignment vertical="center"/>
    </xf>
    <xf numFmtId="0" fontId="10" fillId="36" borderId="0">
      <alignment vertical="center"/>
    </xf>
    <xf numFmtId="0" fontId="10" fillId="32" borderId="0">
      <alignment vertical="center"/>
    </xf>
    <xf numFmtId="0" fontId="10" fillId="20" borderId="0">
      <alignment vertical="center"/>
    </xf>
    <xf numFmtId="0" fontId="10" fillId="31" borderId="0">
      <alignment vertical="center"/>
    </xf>
    <xf numFmtId="0" fontId="10" fillId="38" borderId="0">
      <alignment vertical="center"/>
    </xf>
    <xf numFmtId="0" fontId="14" fillId="16" borderId="10">
      <alignment vertical="center"/>
    </xf>
    <xf numFmtId="0" fontId="10" fillId="40" borderId="0">
      <alignment vertical="center"/>
    </xf>
    <xf numFmtId="0" fontId="24" fillId="34" borderId="0">
      <alignment vertical="center"/>
    </xf>
    <xf numFmtId="0" fontId="7" fillId="29" borderId="0">
      <alignment vertical="center"/>
    </xf>
    <xf numFmtId="0" fontId="22" fillId="28" borderId="0">
      <alignment vertical="center"/>
    </xf>
    <xf numFmtId="0" fontId="7" fillId="25" borderId="0">
      <alignment vertical="center"/>
    </xf>
    <xf numFmtId="0" fontId="13" fillId="0" borderId="9">
      <alignment vertical="center"/>
    </xf>
    <xf numFmtId="0" fontId="21" fillId="26" borderId="0">
      <alignment vertical="center"/>
    </xf>
    <xf numFmtId="0" fontId="17" fillId="22" borderId="11">
      <alignment vertical="center"/>
    </xf>
    <xf numFmtId="0" fontId="18" fillId="16" borderId="12">
      <alignment vertical="center"/>
    </xf>
    <xf numFmtId="0" fontId="16" fillId="0" borderId="7">
      <alignment vertical="center"/>
    </xf>
    <xf numFmtId="0" fontId="15" fillId="0" borderId="0">
      <alignment vertical="center"/>
    </xf>
    <xf numFmtId="0" fontId="7" fillId="19" borderId="0">
      <alignment vertical="center"/>
    </xf>
    <xf numFmtId="0" fontId="12" fillId="0" borderId="0">
      <alignment vertical="center"/>
    </xf>
    <xf numFmtId="42" fontId="0" fillId="0" borderId="0">
      <alignment vertical="center"/>
    </xf>
    <xf numFmtId="0" fontId="7" fillId="18" borderId="0">
      <alignment vertical="center"/>
    </xf>
    <xf numFmtId="43" fontId="0" fillId="0" borderId="0">
      <alignment vertical="center"/>
    </xf>
    <xf numFmtId="0" fontId="9" fillId="0" borderId="0">
      <alignment vertical="center"/>
    </xf>
    <xf numFmtId="0" fontId="19" fillId="0" borderId="0">
      <alignment vertical="center"/>
    </xf>
    <xf numFmtId="0" fontId="7" fillId="17" borderId="0">
      <alignment vertical="center"/>
    </xf>
    <xf numFmtId="0" fontId="11" fillId="0" borderId="0">
      <alignment vertical="center"/>
    </xf>
    <xf numFmtId="0" fontId="10" fillId="13" borderId="0">
      <alignment vertical="center"/>
    </xf>
    <xf numFmtId="0" fontId="0" fillId="39" borderId="13">
      <alignment vertical="center"/>
    </xf>
    <xf numFmtId="0" fontId="7" fillId="37" borderId="0">
      <alignment vertical="center"/>
    </xf>
    <xf numFmtId="0" fontId="10" fillId="15" borderId="0">
      <alignment vertical="center"/>
    </xf>
    <xf numFmtId="0" fontId="7" fillId="14" borderId="0">
      <alignment vertical="center"/>
    </xf>
    <xf numFmtId="0" fontId="23" fillId="0" borderId="0">
      <alignment vertical="center"/>
    </xf>
    <xf numFmtId="41" fontId="0" fillId="0" borderId="0">
      <alignment vertical="center"/>
    </xf>
    <xf numFmtId="0" fontId="8" fillId="0" borderId="7">
      <alignment vertical="center"/>
    </xf>
    <xf numFmtId="0" fontId="7" fillId="12" borderId="0">
      <alignment vertical="center"/>
    </xf>
    <xf numFmtId="0" fontId="12" fillId="0" borderId="8">
      <alignment vertical="center"/>
    </xf>
    <xf numFmtId="0" fontId="10" fillId="21" borderId="0">
      <alignment vertical="center"/>
    </xf>
    <xf numFmtId="0" fontId="7" fillId="30" borderId="0">
      <alignment vertical="center"/>
    </xf>
    <xf numFmtId="0" fontId="6" fillId="0" borderId="6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4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5">
  <autoFilter ref="A41:C105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57">
  <autoFilter ref="A41:C57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5"/>
  <sheetViews>
    <sheetView tabSelected="1" workbookViewId="0">
      <selection activeCell="C38" sqref="C38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68301.7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5527.35000000001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0.0748668715092502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0.63651138990684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0.219613860269949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0.0634391237699794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0.0124447854152971</v>
      </c>
    </row>
    <row r="27" customHeight="1" spans="1:3">
      <c r="A27" s="10" t="s">
        <v>37</v>
      </c>
      <c r="B27" s="11">
        <f>SUMIF(支出明细2603[分类],"水电",支出明细2603[支出明细])</f>
        <v>4047.9</v>
      </c>
      <c r="C27" s="12">
        <f>$B$27/$B$4</f>
        <v>0.0592649963324485</v>
      </c>
    </row>
    <row r="28" customHeight="1" spans="1:3">
      <c r="A28" s="10" t="s">
        <v>14</v>
      </c>
      <c r="B28" s="11">
        <f>SUMIF(支出明细2603[分类],"其他",支出明细2603[支出明细])</f>
        <v>595.99</v>
      </c>
      <c r="C28" s="12">
        <f>$B$28/$B$4</f>
        <v>0.00872584430548581</v>
      </c>
    </row>
    <row r="29" customHeight="1" spans="1:3">
      <c r="A29" s="23" t="s">
        <v>65</v>
      </c>
      <c r="B29" s="24">
        <f>SUM(B23:B28)</f>
        <v>68301.7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37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7"/>
  <sheetViews>
    <sheetView topLeftCell="A45" workbookViewId="0">
      <selection activeCell="A58" sqref="A58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0</v>
      </c>
      <c r="C3" s="6" t="s">
        <v>49</v>
      </c>
    </row>
    <row r="4" customHeight="1" spans="1:3">
      <c r="A4" s="8" t="s">
        <v>50</v>
      </c>
      <c r="B4" s="9">
        <f>SUM(支出明细2604[支出明细])</f>
        <v>40771.38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-20538.38</v>
      </c>
      <c r="C5" s="10" t="s">
        <v>49</v>
      </c>
    </row>
    <row r="6" customHeight="1" spans="1:3">
      <c r="A6" s="10" t="s">
        <v>52</v>
      </c>
      <c r="B6" s="11">
        <f>$B$3-$B$4</f>
        <v>-40771.38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20538.38</v>
      </c>
      <c r="C23" s="12">
        <f>$B$23/$B$4</f>
        <v>0.503745028988472</v>
      </c>
    </row>
    <row r="24" customHeight="1" spans="1:3">
      <c r="A24" s="10" t="s">
        <v>68</v>
      </c>
      <c r="B24" s="11">
        <f>SUMIF(支出明细2604[分类],"工资",支出明细2604[支出明细])</f>
        <v>12000</v>
      </c>
      <c r="C24" s="12">
        <f>$B$24/$B$4</f>
        <v>0.294324106763126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0.106275529550386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3050</v>
      </c>
      <c r="C27" s="12">
        <f>$B$27/$B$4</f>
        <v>0.074807377135628</v>
      </c>
    </row>
    <row r="28" customHeight="1" spans="1:3">
      <c r="A28" s="10" t="s">
        <v>14</v>
      </c>
      <c r="B28" s="11">
        <f>SUMIF(支出明细2604[分类],"其他",支出明细2604[支出明细])</f>
        <v>850</v>
      </c>
      <c r="C28" s="12">
        <f>$B$28/$B$4</f>
        <v>0.0208479575623881</v>
      </c>
    </row>
    <row r="29" customHeight="1" spans="1:3">
      <c r="A29" s="23" t="s">
        <v>65</v>
      </c>
      <c r="B29" s="24">
        <f>SUM(B23:B28)</f>
        <v>40771.38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134</v>
      </c>
      <c r="C33" s="28"/>
    </row>
    <row r="34" customHeight="1" spans="1:3">
      <c r="A34" s="29">
        <v>0</v>
      </c>
      <c r="B34" s="27" t="s">
        <v>135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136</v>
      </c>
    </row>
    <row r="44" customHeight="1" spans="1:3">
      <c r="A44" s="26">
        <v>3000</v>
      </c>
      <c r="B44" s="28" t="s">
        <v>37</v>
      </c>
      <c r="C44" s="28" t="s">
        <v>136</v>
      </c>
    </row>
    <row r="45" customHeight="1" spans="1:3">
      <c r="A45" s="26">
        <v>4000</v>
      </c>
      <c r="B45" s="28" t="s">
        <v>25</v>
      </c>
      <c r="C45" s="28" t="s">
        <v>137</v>
      </c>
    </row>
    <row r="46" customHeight="1" spans="1:3">
      <c r="A46" s="26">
        <v>397.58</v>
      </c>
      <c r="B46" s="27" t="s">
        <v>25</v>
      </c>
      <c r="C46" s="28" t="s">
        <v>138</v>
      </c>
    </row>
    <row r="47" customHeight="1" spans="1:3">
      <c r="A47" s="26">
        <v>5000</v>
      </c>
      <c r="B47" s="27" t="s">
        <v>25</v>
      </c>
      <c r="C47" s="28" t="s">
        <v>139</v>
      </c>
    </row>
    <row r="48" customHeight="1" spans="1:3">
      <c r="A48" s="26">
        <v>601.92</v>
      </c>
      <c r="B48" s="2" t="s">
        <v>25</v>
      </c>
      <c r="C48" s="2" t="s">
        <v>112</v>
      </c>
    </row>
    <row r="49" customHeight="1" spans="1:3">
      <c r="A49" s="26">
        <v>86.24</v>
      </c>
      <c r="B49" s="2" t="s">
        <v>25</v>
      </c>
      <c r="C49" s="2" t="s">
        <v>140</v>
      </c>
    </row>
    <row r="50" customHeight="1" spans="1:3">
      <c r="A50" s="26">
        <v>83.64</v>
      </c>
      <c r="B50" s="2" t="s">
        <v>25</v>
      </c>
      <c r="C50" s="2" t="s">
        <v>141</v>
      </c>
    </row>
    <row r="51" customHeight="1" spans="1:3">
      <c r="A51" s="26">
        <v>280</v>
      </c>
      <c r="B51" s="2" t="s">
        <v>25</v>
      </c>
      <c r="C51" s="2" t="s">
        <v>142</v>
      </c>
    </row>
    <row r="52" customHeight="1" spans="1:3">
      <c r="A52" s="26">
        <v>50</v>
      </c>
      <c r="B52" s="2" t="s">
        <v>37</v>
      </c>
      <c r="C52" s="2" t="s">
        <v>143</v>
      </c>
    </row>
    <row r="53" customHeight="1" spans="1:3">
      <c r="A53" s="26">
        <v>618</v>
      </c>
      <c r="B53" s="2" t="s">
        <v>25</v>
      </c>
      <c r="C53" s="2" t="s">
        <v>144</v>
      </c>
    </row>
    <row r="54" customHeight="1" spans="1:3">
      <c r="A54" s="26">
        <v>8092</v>
      </c>
      <c r="B54" s="2" t="s">
        <v>25</v>
      </c>
      <c r="C54" s="2" t="s">
        <v>145</v>
      </c>
    </row>
    <row r="55" customHeight="1" spans="1:3">
      <c r="A55" s="26">
        <v>1379</v>
      </c>
      <c r="B55" s="2" t="s">
        <v>25</v>
      </c>
      <c r="C55" s="2" t="s">
        <v>146</v>
      </c>
    </row>
    <row r="56" customHeight="1" spans="1:3">
      <c r="A56" s="26">
        <v>150</v>
      </c>
      <c r="B56" s="2" t="s">
        <v>14</v>
      </c>
      <c r="C56" s="2" t="s">
        <v>147</v>
      </c>
    </row>
    <row r="57" customHeight="1" spans="1:3">
      <c r="A57" s="26">
        <v>700</v>
      </c>
      <c r="B57" s="2" t="s">
        <v>14</v>
      </c>
      <c r="C57" s="2" t="s">
        <v>148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50 B51 B52 B53 B54 B55 B56 B57 B2:B3 B42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2026-02-28T03:28:00Z</dcterms:created>
  <dcterms:modified xsi:type="dcterms:W3CDTF">2026-04-14T11:38:32Z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