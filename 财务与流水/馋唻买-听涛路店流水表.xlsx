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<sst xmlns="http://schemas.openxmlformats.org/spreadsheetml/2006/main" count="429" uniqueCount="147">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</sst>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177" formatCode="0.00_ ;[Red]\-0.00\ "/>
    <numFmt numFmtId="42" formatCode="_ &quot;￥&quot;* #,##0_ ;_ &quot;￥&quot;* \-#,##0_ ;_ &quot;￥&quot;* &quot;-&quot;_ ;_ @_ "/>
    <numFmt numFmtId="43" formatCode="_ * #,##0.00_ ;_ * \-#,##0.00_ ;_ * &quot;-&quot;??_ ;_ @_ "/>
    <numFmt numFmtId="178" formatCode="#,##0.00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7" fillId="39" borderId="0">
      <alignment vertical="center"/>
    </xf>
    <xf numFmtId="0" fontId="6" fillId="36" borderId="0">
      <alignment vertical="center"/>
    </xf>
    <xf numFmtId="0" fontId="7" fillId="42" borderId="0">
      <alignment vertical="center"/>
    </xf>
    <xf numFmtId="0" fontId="23" fillId="41" borderId="10">
      <alignment vertical="center"/>
    </xf>
    <xf numFmtId="0" fontId="6" fillId="40" borderId="0">
      <alignment vertical="center"/>
    </xf>
    <xf numFmtId="0" fontId="6" fillId="37" borderId="0">
      <alignment vertical="center"/>
    </xf>
    <xf numFmtId="44" fontId="0" fillId="0" borderId="0">
      <alignment vertical="center"/>
    </xf>
    <xf numFmtId="0" fontId="7" fillId="35" borderId="0">
      <alignment vertical="center"/>
    </xf>
    <xf numFmtId="9" fontId="0" fillId="0" borderId="0">
      <alignment vertical="center"/>
    </xf>
    <xf numFmtId="0" fontId="7" fillId="34" borderId="0">
      <alignment vertical="center"/>
    </xf>
    <xf numFmtId="0" fontId="7" fillId="3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7" fillId="30" borderId="0">
      <alignment vertical="center"/>
    </xf>
    <xf numFmtId="0" fontId="17" fillId="29" borderId="10">
      <alignment vertical="center"/>
    </xf>
    <xf numFmtId="0" fontId="7" fillId="28" borderId="0">
      <alignment vertical="center"/>
    </xf>
    <xf numFmtId="0" fontId="22" fillId="38" borderId="0">
      <alignment vertical="center"/>
    </xf>
    <xf numFmtId="0" fontId="6" fillId="27" borderId="0">
      <alignment vertical="center"/>
    </xf>
    <xf numFmtId="0" fontId="15" fillId="22" borderId="0">
      <alignment vertical="center"/>
    </xf>
    <xf numFmtId="0" fontId="6" fillId="20" borderId="0">
      <alignment vertical="center"/>
    </xf>
    <xf numFmtId="0" fontId="14" fillId="0" borderId="9">
      <alignment vertical="center"/>
    </xf>
    <xf numFmtId="0" fontId="16" fillId="26" borderId="0">
      <alignment vertical="center"/>
    </xf>
    <xf numFmtId="0" fontId="19" fillId="33" borderId="11">
      <alignment vertical="center"/>
    </xf>
    <xf numFmtId="0" fontId="20" fillId="29" borderId="12">
      <alignment vertical="center"/>
    </xf>
    <xf numFmtId="0" fontId="13" fillId="0" borderId="7">
      <alignment vertical="center"/>
    </xf>
    <xf numFmtId="0" fontId="12" fillId="0" borderId="0">
      <alignment vertical="center"/>
    </xf>
    <xf numFmtId="0" fontId="6" fillId="21" borderId="0">
      <alignment vertical="center"/>
    </xf>
    <xf numFmtId="0" fontId="8" fillId="0" borderId="0">
      <alignment vertical="center"/>
    </xf>
    <xf numFmtId="42" fontId="0" fillId="0" borderId="0">
      <alignment vertical="center"/>
    </xf>
    <xf numFmtId="0" fontId="6" fillId="18" borderId="0">
      <alignment vertical="center"/>
    </xf>
    <xf numFmtId="43" fontId="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6" fillId="19" borderId="0">
      <alignment vertical="center"/>
    </xf>
    <xf numFmtId="0" fontId="21" fillId="0" borderId="0">
      <alignment vertical="center"/>
    </xf>
    <xf numFmtId="0" fontId="7" fillId="17" borderId="0">
      <alignment vertical="center"/>
    </xf>
    <xf numFmtId="0" fontId="0" fillId="16" borderId="8">
      <alignment vertical="center"/>
    </xf>
    <xf numFmtId="0" fontId="6" fillId="15" borderId="0">
      <alignment vertical="center"/>
    </xf>
    <xf numFmtId="0" fontId="7" fillId="31" borderId="0">
      <alignment vertical="center"/>
    </xf>
    <xf numFmtId="0" fontId="6" fillId="25" borderId="0">
      <alignment vertical="center"/>
    </xf>
    <xf numFmtId="0" fontId="18" fillId="0" borderId="0">
      <alignment vertical="center"/>
    </xf>
    <xf numFmtId="41" fontId="0" fillId="0" borderId="0">
      <alignment vertical="center"/>
    </xf>
    <xf numFmtId="0" fontId="9" fillId="0" borderId="7">
      <alignment vertical="center"/>
    </xf>
    <xf numFmtId="0" fontId="6" fillId="14" borderId="0">
      <alignment vertical="center"/>
    </xf>
    <xf numFmtId="0" fontId="8" fillId="0" borderId="6">
      <alignment vertical="center"/>
    </xf>
    <xf numFmtId="0" fontId="7" fillId="13" borderId="0">
      <alignment vertical="center"/>
    </xf>
    <xf numFmtId="0" fontId="6" fillId="12" borderId="0">
      <alignment vertical="center"/>
    </xf>
    <xf numFmtId="0" fontId="24" fillId="0" borderId="13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57">
  <autoFilter ref="A41:C57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opLeftCell="A16" workbookViewId="0">
      <selection activeCell="B6" sqref="B6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7"/>
  <sheetViews>
    <sheetView tabSelected="1" workbookViewId="0">
      <selection activeCell="B59" sqref="B59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40771.38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-20538.38</v>
      </c>
      <c r="C5" s="10" t="s">
        <v>49</v>
      </c>
    </row>
    <row r="6" customHeight="1" spans="1:3">
      <c r="A6" s="10" t="s">
        <v>52</v>
      </c>
      <c r="B6" s="11">
        <f>$B$3-$B$4</f>
        <v>-40771.38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20538.38</v>
      </c>
      <c r="C23" s="12">
        <f>$B$23/$B$4</f>
        <v>0.503745028988472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0.294324106763126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0.106275529550386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3050</v>
      </c>
      <c r="C27" s="12">
        <f>$B$27/$B$4</f>
        <v>0.074807377135628</v>
      </c>
    </row>
    <row r="28" customHeight="1" spans="1:3">
      <c r="A28" s="10" t="s">
        <v>14</v>
      </c>
      <c r="B28" s="11">
        <f>SUMIF(支出明细2604[分类],"其他",支出明细2604[支出明细])</f>
        <v>850</v>
      </c>
      <c r="C28" s="12">
        <f>$B$28/$B$4</f>
        <v>0.0208479575623881</v>
      </c>
    </row>
    <row r="29" customHeight="1" spans="1:3">
      <c r="A29" s="23" t="s">
        <v>65</v>
      </c>
      <c r="B29" s="24">
        <f>SUM(B23:B28)</f>
        <v>40771.38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  <row r="48" customHeight="1" spans="1:3">
      <c r="A48" s="26">
        <v>601.92</v>
      </c>
      <c r="B48" s="2" t="s">
        <v>25</v>
      </c>
      <c r="C48" s="2" t="s">
        <v>111</v>
      </c>
    </row>
    <row r="49" customHeight="1" spans="1:3">
      <c r="A49" s="26">
        <v>86.24</v>
      </c>
      <c r="B49" s="2" t="s">
        <v>25</v>
      </c>
      <c r="C49" s="2" t="s">
        <v>138</v>
      </c>
    </row>
    <row r="50" customHeight="1" spans="1:3">
      <c r="A50" s="26">
        <v>83.64</v>
      </c>
      <c r="B50" s="2" t="s">
        <v>25</v>
      </c>
      <c r="C50" s="2" t="s">
        <v>139</v>
      </c>
    </row>
    <row r="51" customHeight="1" spans="1:3">
      <c r="A51" s="26">
        <v>280</v>
      </c>
      <c r="B51" s="2" t="s">
        <v>25</v>
      </c>
      <c r="C51" s="2" t="s">
        <v>140</v>
      </c>
    </row>
    <row r="52" customHeight="1" spans="1:3">
      <c r="A52" s="26">
        <v>50</v>
      </c>
      <c r="B52" s="2" t="s">
        <v>37</v>
      </c>
      <c r="C52" s="2" t="s">
        <v>141</v>
      </c>
    </row>
    <row r="53" customHeight="1" spans="1:3">
      <c r="A53" s="26">
        <v>618</v>
      </c>
      <c r="B53" s="2" t="s">
        <v>25</v>
      </c>
      <c r="C53" s="2" t="s">
        <v>142</v>
      </c>
    </row>
    <row r="54" customHeight="1" spans="1:3">
      <c r="A54" s="26">
        <v>8092</v>
      </c>
      <c r="B54" s="2" t="s">
        <v>25</v>
      </c>
      <c r="C54" s="2" t="s">
        <v>143</v>
      </c>
    </row>
    <row r="55" customHeight="1" spans="1:3">
      <c r="A55" s="26">
        <v>1379</v>
      </c>
      <c r="B55" s="2" t="s">
        <v>25</v>
      </c>
      <c r="C55" s="2" t="s">
        <v>144</v>
      </c>
    </row>
    <row r="56" customHeight="1" spans="1:3">
      <c r="A56" s="26">
        <v>150</v>
      </c>
      <c r="B56" s="2" t="s">
        <v>14</v>
      </c>
      <c r="C56" s="2" t="s">
        <v>145</v>
      </c>
    </row>
    <row r="57" customHeight="1" spans="1:3">
      <c r="A57" s="26">
        <v>700</v>
      </c>
      <c r="B57" s="2" t="s">
        <v>14</v>
      </c>
      <c r="C57" s="2" t="s">
        <v>146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52 B53 B54 B55 B56 B57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2026-02-27T19:28:00Z</dcterms:created>
  <dcterms:modified xsi:type="dcterms:W3CDTF">2026-04-10T10:15:16Z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