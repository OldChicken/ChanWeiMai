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<sst xmlns="http://schemas.openxmlformats.org/spreadsheetml/2006/main" count="532" uniqueCount="171">
  <si>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</si>
  <si>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</si>
  <si>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</si>
  <si>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</si>
  <si>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</si>
  <si>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</si>
  <si>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</si>
  <si>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</si>
  <si>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</si>
  <si>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</si>
  <si>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</si>
  <si>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</si>
  <si>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</si>
  <si>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</si>
  <si>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</si>
  <si>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</si>
  <si>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</si>
  <si>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</si>
  <si>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</si>
  <si>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</si>
  <si>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</si>
  <si>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</si>
  <si>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</si>
  <si>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</si>
  <si>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</si>
  <si>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</si>
  <si>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</si>
  <si>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</si>
  <si>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</si>
  <si>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</si>
  <si>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</si>
  <si>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</si>
  <si>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</si>
  <si>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</si>
  <si>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</si>
  <si>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</si>
  <si>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</si>
  <si>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</si>
  <si>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</si>
  <si>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</si>
  <si>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</si>
  <si>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</si>
  <si>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</si>
  <si>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</si>
  <si>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</si>
  <si>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</si>
  <si>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</si>
  <si>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</si>
  <si>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</si>
  <si>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</si>
  <si>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</si>
  <si>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</si>
  <si>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</si>
  <si>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</si>
  <si>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</si>
  <si>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</si>
  <si>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</si>
  <si>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</si>
  <si>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</si>
  <si>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</si>
  <si>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</si>
  <si>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</si>
  <si>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</si>
  <si>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</si>
  <si>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</si>
  <si>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</si>
  <si>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</si>
  <si>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</si>
  <si>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</si>
  <si>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</si>
  <si>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</si>
  <si>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</si>
  <si>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</si>
  <si>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</si>
  <si>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</si>
  <si>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</si>
  <si>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</si>
  <si>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</si>
  <si>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</si>
  <si>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</si>
  <si>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</si>
  <si>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</si>
  <si>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</si>
  <si>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</si>
  <si>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</si>
  <si>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</si>
  <si>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</si>
  <si>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</si>
  <si>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</si>
  <si>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</si>
  <si>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</si>
  <si>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</si>
  <si>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</si>
  <si>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</si>
  <si>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</si>
  <si>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</si>
  <si>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</si>
  <si>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</si>
  <si>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</si>
  <si>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</si>
  <si>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</si>
  <si>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</si>
  <si>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</si>
  <si>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</si>
  <si>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</si>
  <si>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</si>
  <si>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</si>
  <si>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</si>
  <si>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</si>
  <si>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</si>
  <si>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</si>
  <si>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</si>
  <si>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</si>
  <si>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</si>
  <si>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</si>
  <si>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</si>
  <si>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</si>
  <si>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</si>
  <si>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</si>
  <si>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</si>
  <si>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</si>
  <si>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</si>
  <si>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</si>
  <si>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</si>
  <si>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</si>
  <si>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</si>
  <si>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</si>
  <si>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</si>
  <si>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</si>
  <si>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</si>
  <si>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</si>
  <si>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</si>
  <si>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</si>
  <si>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</si>
  <si>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</si>
  <si>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</si>
  <si>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</si>
  <si>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</si>
  <si>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暂未支付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</si>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</sst>
</file>

<file path=xl/styles.xml><?xml version="1.0" encoding="utf-8"?>
<styleSheet xmlns="http://schemas.openxmlformats.org/spreadsheetml/2006/main">
  <numFmts count="7">
    <numFmt numFmtId="176" formatCode="#,##0.00_ "/>
    <numFmt numFmtId="42" formatCode="_ &quot;￥&quot;* #,##0_ ;_ &quot;￥&quot;* \-#,##0_ ;_ &quot;￥&quot;* &quot;-&quot;_ ;_ @_ "/>
    <numFmt numFmtId="177" formatCode="0.00_ ;[Red]\-0.00\ "/>
    <numFmt numFmtId="43" formatCode="_ * #,##0.00_ ;_ * \-#,##0.00_ ;_ * &quot;-&quot;??_ ;_ @_ "/>
    <numFmt numFmtId="44" formatCode="_ &quot;￥&quot;* #,##0.00_ ;_ &quot;￥&quot;* \-#,##0.00_ ;_ &quot;￥&quot;* &quot;-&quot;??_ ;_ @_ "/>
    <numFmt numFmtId="178" formatCode="0.00_);[Red]\(0.00\)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9C000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8" fillId="42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10" fillId="16" borderId="8" applyNumberFormat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21" fillId="19" borderId="8" applyNumberFormat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18" fillId="21" borderId="13" applyNumberFormat="0" applyAlignment="0" applyProtection="0">
      <alignment vertical="center"/>
    </xf>
    <xf numFmtId="0" fontId="16" fillId="19" borderId="11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0" fillId="20" borderId="12" applyNumberFormat="0" applyFon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70">
    <xf numFmtId="0" fontId="0" fillId="0" borderId="0" xfId="0"/>
    <xf numFmtId="17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8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8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55">
  <autoFilter ref="A41:C55">
    <filterColumn colId="1">
      <customFilters>
        <customFilter operator="equal" val="食材"/>
      </customFilters>
    </filterColumn>
  </autoFilter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24" workbookViewId="0">
      <selection activeCell="D37" sqref="D3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50053.93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393.550000000003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0.00780118253676899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0.555997301310806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0.239741414909878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0.0865666292337085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3500</v>
      </c>
      <c r="C28" s="12">
        <f>$B$28/$B$4</f>
        <v>0.0699245793487145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0.0477700751968926</v>
      </c>
    </row>
    <row r="30" customHeight="1" spans="1:3">
      <c r="A30" s="23" t="s">
        <v>65</v>
      </c>
      <c r="B30" s="24">
        <f>SUM(B24:B29)</f>
        <v>50053.93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138</v>
      </c>
    </row>
    <row r="46" customHeight="1" spans="1:3">
      <c r="A46" s="26">
        <v>3500</v>
      </c>
      <c r="B46" s="28" t="s">
        <v>37</v>
      </c>
      <c r="C46" s="28" t="s">
        <v>138</v>
      </c>
    </row>
    <row r="47" customHeight="1" spans="1:3">
      <c r="A47" s="26">
        <v>4000</v>
      </c>
      <c r="B47" s="28" t="s">
        <v>25</v>
      </c>
      <c r="C47" s="28" t="s">
        <v>139</v>
      </c>
    </row>
    <row r="48" customHeight="1" spans="1:3">
      <c r="A48" s="26">
        <v>397.58</v>
      </c>
      <c r="B48" s="27" t="s">
        <v>25</v>
      </c>
      <c r="C48" s="28" t="s">
        <v>140</v>
      </c>
    </row>
    <row r="49" customHeight="1" spans="1:3">
      <c r="A49" s="26">
        <v>2521.87</v>
      </c>
      <c r="B49" s="27" t="s">
        <v>25</v>
      </c>
      <c r="C49" s="28" t="s">
        <v>141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142</v>
      </c>
    </row>
    <row r="52" customHeight="1" spans="1:3">
      <c r="A52" s="26">
        <v>83.64</v>
      </c>
      <c r="B52" s="2" t="s">
        <v>25</v>
      </c>
      <c r="C52" s="2" t="s">
        <v>143</v>
      </c>
    </row>
    <row r="53" customHeight="1" spans="1:3">
      <c r="A53" s="26">
        <v>280</v>
      </c>
      <c r="B53" s="2" t="s">
        <v>25</v>
      </c>
      <c r="C53" s="2" t="s">
        <v>144</v>
      </c>
    </row>
    <row r="54" customHeight="1" spans="1:3">
      <c r="A54" s="26">
        <v>50</v>
      </c>
      <c r="B54" s="2" t="s">
        <v>14</v>
      </c>
      <c r="C54" s="2" t="s">
        <v>145</v>
      </c>
    </row>
    <row r="55" customHeight="1" spans="1:3">
      <c r="A55" s="26">
        <v>618</v>
      </c>
      <c r="B55" s="2" t="s">
        <v>25</v>
      </c>
      <c r="C55" s="2" t="s">
        <v>146</v>
      </c>
    </row>
    <row r="56" customHeight="1" spans="1:3">
      <c r="A56" s="26">
        <v>8092</v>
      </c>
      <c r="B56" s="2" t="s">
        <v>25</v>
      </c>
      <c r="C56" s="2" t="s">
        <v>147</v>
      </c>
    </row>
    <row r="57" customHeight="1" spans="1:3">
      <c r="A57" s="26">
        <v>1379</v>
      </c>
      <c r="B57" s="2" t="s">
        <v>25</v>
      </c>
      <c r="C57" s="2" t="s">
        <v>148</v>
      </c>
    </row>
    <row r="58" customHeight="1" spans="1:3">
      <c r="A58" s="26">
        <v>150</v>
      </c>
      <c r="B58" s="2" t="s">
        <v>14</v>
      </c>
      <c r="C58" s="2" t="s">
        <v>149</v>
      </c>
    </row>
    <row r="59" customHeight="1" spans="1:3">
      <c r="A59" s="26">
        <v>700</v>
      </c>
      <c r="B59" s="2" t="s">
        <v>14</v>
      </c>
      <c r="C59" s="2" t="s">
        <v>150</v>
      </c>
    </row>
    <row r="60" customHeight="1" spans="1:3">
      <c r="A60" s="26">
        <v>350</v>
      </c>
      <c r="B60" s="2" t="s">
        <v>25</v>
      </c>
      <c r="C60" s="2" t="s">
        <v>151</v>
      </c>
    </row>
    <row r="61" customHeight="1" spans="1:3">
      <c r="A61" s="26">
        <v>381</v>
      </c>
      <c r="B61" s="2" t="s">
        <v>25</v>
      </c>
      <c r="C61" s="2" t="s">
        <v>152</v>
      </c>
    </row>
    <row r="62" customHeight="1" spans="1:3">
      <c r="A62" s="26">
        <v>16.08</v>
      </c>
      <c r="B62" s="2" t="s">
        <v>14</v>
      </c>
      <c r="C62" s="2" t="s">
        <v>153</v>
      </c>
    </row>
    <row r="63" customHeight="1" spans="1:3">
      <c r="A63" s="26">
        <v>396</v>
      </c>
      <c r="B63" s="2" t="s">
        <v>25</v>
      </c>
      <c r="C63" s="2" t="s">
        <v>154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155</v>
      </c>
    </row>
    <row r="66" customHeight="1" spans="1:3">
      <c r="A66" s="26">
        <v>80</v>
      </c>
      <c r="B66" s="2" t="s">
        <v>25</v>
      </c>
      <c r="C66" s="2" t="s">
        <v>156</v>
      </c>
    </row>
    <row r="67" customHeight="1" spans="1:3">
      <c r="A67" s="26">
        <v>912</v>
      </c>
      <c r="B67" s="2" t="s">
        <v>25</v>
      </c>
      <c r="C67" s="2" t="s">
        <v>157</v>
      </c>
    </row>
    <row r="68" customHeight="1" spans="1:3">
      <c r="A68" s="26">
        <v>6783</v>
      </c>
      <c r="B68" s="2" t="s">
        <v>25</v>
      </c>
      <c r="C68" s="2" t="s">
        <v>158</v>
      </c>
    </row>
    <row r="69" customHeight="1" spans="1:3">
      <c r="A69" s="26">
        <v>265.6</v>
      </c>
      <c r="B69" s="2" t="s">
        <v>25</v>
      </c>
      <c r="C69" s="2" t="s">
        <v>159</v>
      </c>
    </row>
    <row r="70" customHeight="1" spans="1:3">
      <c r="A70" s="26">
        <v>1275</v>
      </c>
      <c r="B70" s="2" t="s">
        <v>14</v>
      </c>
      <c r="C70" s="2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5"/>
  <sheetViews>
    <sheetView tabSelected="1" topLeftCell="A31" workbookViewId="0">
      <selection activeCell="E47" sqref="E4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33507.92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-12349.92</v>
      </c>
      <c r="C5" s="10" t="s">
        <v>49</v>
      </c>
    </row>
    <row r="6" customHeight="1" spans="1:3">
      <c r="A6" s="10" t="s">
        <v>52</v>
      </c>
      <c r="B6" s="11">
        <f>$B$3-$B$4</f>
        <v>-33507.92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12349.92</v>
      </c>
      <c r="C23" s="12">
        <f>$B$23/$B$4</f>
        <v>0.368567192472705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0.358124288227977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0.129312711740985</v>
      </c>
    </row>
    <row r="26" customHeight="1" spans="1:3">
      <c r="A26" s="10" t="s">
        <v>32</v>
      </c>
      <c r="B26" s="11">
        <f>SUMIF(支出明细26049[分类],"推广",支出明细26049[支出明细])</f>
        <v>300</v>
      </c>
      <c r="C26" s="12">
        <f>$B$26/$B$4</f>
        <v>0.00895310720569943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0.0895310720569943</v>
      </c>
    </row>
    <row r="28" customHeight="1" spans="1:3">
      <c r="A28" s="10" t="s">
        <v>14</v>
      </c>
      <c r="B28" s="11">
        <f>SUMIF(支出明细26049[分类],"其他",支出明细26049[支出明细])</f>
        <v>1525</v>
      </c>
      <c r="C28" s="12">
        <f>$B$28/$B$4</f>
        <v>0.0455116282956388</v>
      </c>
    </row>
    <row r="29" customHeight="1" spans="1:3">
      <c r="A29" s="23" t="s">
        <v>65</v>
      </c>
      <c r="B29" s="24">
        <f>SUM(B23:B28)</f>
        <v>33507.92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161</v>
      </c>
      <c r="C33" s="28"/>
    </row>
    <row r="34" customHeight="1" spans="1:3">
      <c r="A34" s="29">
        <v>0</v>
      </c>
      <c r="B34" s="27" t="s">
        <v>162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hidden="1" customHeight="1" spans="1:3">
      <c r="A42" s="26">
        <v>4333</v>
      </c>
      <c r="B42" s="28" t="s">
        <v>6</v>
      </c>
      <c r="C42" s="28" t="s">
        <v>72</v>
      </c>
    </row>
    <row r="43" hidden="1" customHeight="1" spans="1:3">
      <c r="A43" s="26">
        <v>12000</v>
      </c>
      <c r="B43" s="28" t="s">
        <v>68</v>
      </c>
      <c r="C43" s="28" t="s">
        <v>138</v>
      </c>
    </row>
    <row r="44" hidden="1" customHeight="1" spans="1:3">
      <c r="A44" s="26">
        <v>3000</v>
      </c>
      <c r="B44" s="28" t="s">
        <v>37</v>
      </c>
      <c r="C44" s="28" t="s">
        <v>138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2" t="s">
        <v>164</v>
      </c>
    </row>
    <row r="47" customHeight="1" spans="1:3">
      <c r="A47" s="26">
        <v>601.92</v>
      </c>
      <c r="B47" s="2" t="s">
        <v>25</v>
      </c>
      <c r="C47" s="2" t="s">
        <v>112</v>
      </c>
    </row>
    <row r="48" hidden="1" customHeight="1" spans="1:3">
      <c r="A48" s="26">
        <v>1275</v>
      </c>
      <c r="B48" s="2" t="s">
        <v>14</v>
      </c>
      <c r="C48" s="2" t="s">
        <v>160</v>
      </c>
    </row>
    <row r="49" customHeight="1" spans="1:3">
      <c r="A49" s="26">
        <v>200</v>
      </c>
      <c r="B49" s="2" t="s">
        <v>14</v>
      </c>
      <c r="C49" s="2" t="s">
        <v>165</v>
      </c>
    </row>
    <row r="50" customHeight="1" spans="1:3">
      <c r="A50" s="26">
        <v>678</v>
      </c>
      <c r="B50" s="2" t="s">
        <v>25</v>
      </c>
      <c r="C50" s="2" t="s">
        <v>166</v>
      </c>
    </row>
    <row r="51" customHeight="1" spans="1:3">
      <c r="A51" s="26">
        <v>6795</v>
      </c>
      <c r="B51" s="2" t="s">
        <v>25</v>
      </c>
      <c r="C51" s="2" t="s">
        <v>167</v>
      </c>
    </row>
    <row r="52" customHeight="1" spans="1:3">
      <c r="A52" s="26">
        <v>50</v>
      </c>
      <c r="B52" s="2" t="s">
        <v>14</v>
      </c>
      <c r="C52" s="2" t="s">
        <v>145</v>
      </c>
    </row>
    <row r="53" customHeight="1" spans="1:3">
      <c r="A53" s="26">
        <v>500</v>
      </c>
      <c r="B53" s="2" t="s">
        <v>25</v>
      </c>
      <c r="C53" s="2" t="s">
        <v>168</v>
      </c>
    </row>
    <row r="54" customHeight="1" spans="1:3">
      <c r="A54" s="26">
        <v>300</v>
      </c>
      <c r="B54" s="2" t="s">
        <v>32</v>
      </c>
      <c r="C54" s="2" t="s">
        <v>169</v>
      </c>
    </row>
    <row r="55" customHeight="1" spans="1:3">
      <c r="A55" s="26">
        <v>860</v>
      </c>
      <c r="B55" s="2" t="s">
        <v>25</v>
      </c>
      <c r="C55" s="2" t="s">
        <v>170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51 B52 B53 B54 B55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2026-03-01T11:28:00Z</dcterms:created>
  <dcterms:modified xsi:type="dcterms:W3CDTF">2026-05-06T09:44:06Z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