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60" tabRatio="723" firstSheet="1" activeTab="8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</sheets>
  <calcPr calcId="144525"/>
</workbook>
</file>

<file path=xl/sharedStrings.xml><?xml version="1.0" encoding="utf-8"?>
<sst xmlns="http://schemas.openxmlformats.org/spreadsheetml/2006/main" count="997" uniqueCount="220">
  <si>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</si>
  <si>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</si>
  <si>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</si>
  <si>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</si>
  <si>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</si>
  <si>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</si>
  <si>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</si>
  <si>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</si>
  <si>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</si>
  <si>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</si>
  <si>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</si>
  <si>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</si>
  <si>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</si>
  <si>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</si>
  <si>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</si>
  <si>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</si>
  <si>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</si>
  <si>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</si>
  <si>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</si>
  <si>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</si>
  <si>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</si>
  <si>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</si>
  <si>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</si>
  <si>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</si>
  <si>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</si>
  <si>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</si>
  <si>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</si>
  <si>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</si>
  <si>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</si>
  <si>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</si>
  <si>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</si>
  <si>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</si>
  <si>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</si>
  <si>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</si>
  <si>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</si>
  <si>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</si>
  <si>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</si>
  <si>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</si>
  <si>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</si>
  <si>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</si>
  <si>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</si>
  <si>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</si>
  <si>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</si>
  <si>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</si>
  <si>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</si>
  <si>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</si>
  <si>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</si>
  <si>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</si>
  <si>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</si>
  <si>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</si>
  <si>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</si>
  <si>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</si>
  <si>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</si>
  <si>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</si>
  <si>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</si>
  <si>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</si>
  <si>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</si>
  <si>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</si>
  <si>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</si>
  <si>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</si>
  <si>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</si>
  <si>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</si>
  <si>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</si>
  <si>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</si>
  <si>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</si>
  <si>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</si>
  <si>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</si>
  <si>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</si>
  <si>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</si>
  <si>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</si>
  <si>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</si>
  <si>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</si>
  <si>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</si>
  <si>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</si>
  <si>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</si>
  <si>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</si>
  <si>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</si>
  <si>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</si>
  <si>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</si>
  <si>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</si>
  <si>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</si>
  <si>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</si>
  <si>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</si>
  <si>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</si>
  <si>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</si>
  <si>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</si>
  <si>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</si>
  <si>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</si>
  <si>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</si>
  <si>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</si>
  <si>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</si>
  <si>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</si>
  <si>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</si>
  <si>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</si>
  <si>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</si>
  <si>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</si>
  <si>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</si>
  <si>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</si>
  <si>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</si>
  <si>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</si>
  <si>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</si>
  <si>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</si>
  <si>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</si>
  <si>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</si>
  <si>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</si>
  <si>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</si>
  <si>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</si>
  <si>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</si>
  <si>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</si>
  <si>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</si>
  <si>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</si>
  <si>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</si>
  <si>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</si>
  <si>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</si>
  <si>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</si>
  <si>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</si>
  <si>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</si>
  <si>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</si>
  <si>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</si>
  <si>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</si>
  <si>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</si>
  <si>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</si>
  <si>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</si>
  <si>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</si>
  <si>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</si>
  <si>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</si>
  <si>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</si>
  <si>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</si>
  <si>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</si>
  <si>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</si>
  <si>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</si>
  <si>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</si>
  <si>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</si>
  <si>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</si>
  <si>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</si>
  <si>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</si>
  <si>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</si>
  <si>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</si>
  <si>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</si>
  <si>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</si>
  <si>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</si>
  <si>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</si>
  <si>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</si>
  <si>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</si>
  <si>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</si>
  <si>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</si>
  <si>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</si>
  <si>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</si>
  <si>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</si>
  <si>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</si>
  <si>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</si>
  <si>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</si>
  <si>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</si>
  <si>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</si>
  <si>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</si>
  <si>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</si>
  <si>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</si>
  <si>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</si>
  <si>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</si>
  <si>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</si>
  <si>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</si>
  <si>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</si>
  <si>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</si>
  <si>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</si>
  <si>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</si>
  <si>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</si>
  <si>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</si>
  <si>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</si>
  <si>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</si>
  <si>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</si>
  <si>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</si>
  <si>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</si>
  <si>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</si>
  <si>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</si>
  <si>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</si>
  <si>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</si>
  <si>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</si>
  <si>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</si>
  <si>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</si>
  <si>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</si>
  <si>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</si>
  <si>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</si>
  <si>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</si>
  <si>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</si>
  <si>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</si>
  <si>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</si>
  <si>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</si>
  <si>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</si>
  <si>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</si>
  <si>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</si>
  <si>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</si>
  <si>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</si>
  <si>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</si>
  <si>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</si>
  <si>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</si>
  <si>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</si>
  <si>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</si>
  <si>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</si>
  <si>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</si>
  <si>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</si>
  <si>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</si>
  <si>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</si>
  <si>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</si>
  <si>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</si>
  <si>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</si>
  <si>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</si>
  <si>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</si>
  <si>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</si>
  <si>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</si>
  <si>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</si>
  <si>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</si>
  <si>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</si>
  <si>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</si>
  <si>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</si>
  <si>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</si>
  <si>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快驴</t>
  </si>
  <si>
    <t>烧麦</t>
  </si>
  <si>
    <t>拼多多肉片</t>
  </si>
  <si>
    <t>王道凯肉片</t>
  </si>
  <si>
    <t>牛肉酱一瓶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</si>
</sst>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41" formatCode="_ * #,##0_ ;_ * \-#,##0_ ;_ * &quot;-&quot;_ ;_ @_ "/>
    <numFmt numFmtId="43" formatCode="_ * #,##0.00_ ;_ * \-#,##0.00_ ;_ * &quot;-&quot;??_ ;_ @_ "/>
    <numFmt numFmtId="178" formatCode="0.00_ ;[Red]\-0.00\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8" fillId="21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24" fillId="39" borderId="11" applyNumberFormat="0" applyAlignment="0" applyProtection="0">
      <alignment vertical="center"/>
    </xf>
    <xf numFmtId="0" fontId="7" fillId="41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15" fillId="18" borderId="11" applyNumberFormat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14" fillId="22" borderId="10" applyNumberFormat="0" applyAlignment="0" applyProtection="0">
      <alignment vertical="center"/>
    </xf>
    <xf numFmtId="0" fontId="13" fillId="18" borderId="9" applyNumberFormat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0" fillId="28" borderId="12" applyNumberFormat="0" applyFont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82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56">
  <autoFilter ref="A43:C5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zoomScale="80" zoomScaleNormal="80" topLeftCell="A22" workbookViewId="0">
      <selection activeCell="A45" sqref="A4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34107.25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32522.33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17369.38</v>
      </c>
      <c r="C5" s="15" t="s">
        <v>49</v>
      </c>
    </row>
    <row r="6" customHeight="1" spans="1:3">
      <c r="A6" s="13" t="s">
        <v>52</v>
      </c>
      <c r="B6" s="14">
        <f>$B$3-$B$4</f>
        <v>1584.92</v>
      </c>
      <c r="C6" s="15" t="s">
        <v>49</v>
      </c>
    </row>
    <row r="7" customHeight="1" spans="1:3">
      <c r="A7" s="13" t="s">
        <v>53</v>
      </c>
      <c r="B7" s="16">
        <f>$B$5/$B$3</f>
        <v>0.509257709138087</v>
      </c>
      <c r="C7" s="15" t="s">
        <v>54</v>
      </c>
    </row>
    <row r="8" customHeight="1" spans="1:3">
      <c r="A8" s="13" t="s">
        <v>55</v>
      </c>
      <c r="B8" s="16">
        <f>$B$6/$B$3</f>
        <v>0.0464687126637299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13553</v>
      </c>
      <c r="C13" s="16">
        <f>$B$13/$B$3</f>
        <v>0.397364196761686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13435.44</v>
      </c>
      <c r="C14" s="16">
        <f>$B$14/$B$3</f>
        <v>0.393917422248935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80.35</v>
      </c>
      <c r="C15" s="16">
        <f>$B$15/$B$3</f>
        <v>0.00235580411789282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3340.7</v>
      </c>
      <c r="C16" s="16">
        <f>$B$16/$B$3</f>
        <v>0.0979469174442384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1709.88</v>
      </c>
      <c r="C17" s="16">
        <f>$B$17/$B$3</f>
        <v>0.0501324498457073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1987.88</v>
      </c>
      <c r="C18" s="16">
        <f>$B$18/$B$3</f>
        <v>0.0582832095815406</v>
      </c>
    </row>
    <row r="19" customHeight="1" spans="1:3">
      <c r="A19" s="20" t="s">
        <v>65</v>
      </c>
      <c r="B19" s="21">
        <f>SUM(B13:B18)</f>
        <v>34107.25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0.514657775134807</v>
      </c>
    </row>
    <row r="25" customHeight="1" spans="1:3">
      <c r="A25" s="13" t="s">
        <v>68</v>
      </c>
      <c r="B25" s="14">
        <f>SUMIF(支出明细26049_111914[分类],"工资",支出明细26049_111914[支出明细])</f>
        <v>9000</v>
      </c>
      <c r="C25" s="16">
        <f>$B$25/$B$4</f>
        <v>0.276732940106075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0.133231536608847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0.000586058870935754</v>
      </c>
    </row>
    <row r="28" customHeight="1" spans="1:3">
      <c r="A28" s="13" t="s">
        <v>37</v>
      </c>
      <c r="B28" s="14">
        <f>SUMIF(支出明细26049_111914[分类],"水电",支出明细26049_111914[支出明细])</f>
        <v>2432.4</v>
      </c>
      <c r="C28" s="16">
        <f>$B$28/$B$4</f>
        <v>0.0747916892793352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32522.33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2791.82</v>
      </c>
      <c r="B34" s="32" t="s">
        <v>62</v>
      </c>
      <c r="C34" s="33" t="s">
        <v>136</v>
      </c>
    </row>
    <row r="35" customHeight="1" spans="1:3">
      <c r="A35" s="34">
        <v>548.88</v>
      </c>
      <c r="B35" s="32" t="s">
        <v>62</v>
      </c>
      <c r="C35" s="33" t="s">
        <v>137</v>
      </c>
    </row>
    <row r="36" customHeight="1" spans="1:3">
      <c r="A36" s="34">
        <v>1709.88</v>
      </c>
      <c r="B36" s="32" t="s">
        <v>63</v>
      </c>
      <c r="C36" s="33"/>
    </row>
    <row r="37" customHeight="1" spans="1:3">
      <c r="A37" s="34">
        <v>1987.88</v>
      </c>
      <c r="B37" s="32" t="s">
        <v>64</v>
      </c>
      <c r="C37" s="33"/>
    </row>
    <row r="38" customHeight="1" spans="1:3">
      <c r="A38" s="34">
        <v>13553</v>
      </c>
      <c r="B38" s="32" t="s">
        <v>60</v>
      </c>
      <c r="C38" s="33"/>
    </row>
    <row r="39" customHeight="1" spans="1:3">
      <c r="A39" s="34">
        <v>13435.44</v>
      </c>
      <c r="B39" s="32" t="s">
        <v>61</v>
      </c>
      <c r="C39" s="33"/>
    </row>
    <row r="40" customHeight="1" spans="1:3">
      <c r="A40" s="1">
        <v>80.35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9000</v>
      </c>
      <c r="B45" s="33" t="s">
        <v>68</v>
      </c>
      <c r="C45" s="33" t="s">
        <v>68</v>
      </c>
    </row>
    <row r="46" customHeight="1" spans="1:3">
      <c r="A46" s="1">
        <v>2432.4</v>
      </c>
      <c r="B46" s="33" t="s">
        <v>37</v>
      </c>
      <c r="C46" s="33" t="s">
        <v>37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6"/>
  <sheetViews>
    <sheetView tabSelected="1" topLeftCell="A37" workbookViewId="0">
      <selection activeCell="B57" sqref="B57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26418.34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-10585.34</v>
      </c>
      <c r="C5" s="15" t="s">
        <v>49</v>
      </c>
    </row>
    <row r="6" customHeight="1" spans="1:3">
      <c r="A6" s="13" t="s">
        <v>52</v>
      </c>
      <c r="B6" s="14">
        <f>$B$3-$B$4</f>
        <v>-26418.34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10585.34</v>
      </c>
      <c r="C24" s="16">
        <f>$B$24/$B$4</f>
        <v>0.40068149626358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0.321746180872833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0.16401484726141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3000</v>
      </c>
      <c r="C28" s="16">
        <f>$B$28/$B$4</f>
        <v>0.113557475602176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26418.34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215</v>
      </c>
    </row>
    <row r="49" customHeight="1" spans="1:3">
      <c r="A49" s="1">
        <v>81.7</v>
      </c>
      <c r="B49" s="2" t="s">
        <v>25</v>
      </c>
      <c r="C49" s="2" t="s">
        <v>216</v>
      </c>
    </row>
    <row r="50" customHeight="1" spans="1:3">
      <c r="A50" s="1">
        <v>263.64</v>
      </c>
      <c r="B50" s="2" t="s">
        <v>25</v>
      </c>
      <c r="C50" s="2" t="s">
        <v>217</v>
      </c>
    </row>
    <row r="51" customHeight="1" spans="1:3">
      <c r="A51" s="1">
        <v>6192</v>
      </c>
      <c r="B51" s="2" t="s">
        <v>25</v>
      </c>
      <c r="C51" s="2" t="s">
        <v>218</v>
      </c>
    </row>
    <row r="52" customHeight="1" spans="1:3">
      <c r="A52" s="1">
        <v>12.9</v>
      </c>
      <c r="B52" s="2" t="s">
        <v>25</v>
      </c>
      <c r="C52" s="2" t="s">
        <v>219</v>
      </c>
    </row>
    <row r="53" customHeight="1" spans="1:3">
      <c r="A53" s="1">
        <v>1000</v>
      </c>
      <c r="B53" s="2" t="s">
        <v>25</v>
      </c>
      <c r="C53" s="2" t="s">
        <v>26</v>
      </c>
    </row>
    <row r="54" customHeight="1" spans="1:3">
      <c r="A54" s="1">
        <v>593.8</v>
      </c>
      <c r="B54" s="2" t="s">
        <v>25</v>
      </c>
      <c r="C54" s="2" t="s">
        <v>112</v>
      </c>
    </row>
    <row r="55" customHeight="1" spans="1:3">
      <c r="A55" s="1">
        <v>81.3</v>
      </c>
      <c r="B55" s="2" t="s">
        <v>25</v>
      </c>
      <c r="C55" s="2" t="s">
        <v>202</v>
      </c>
    </row>
    <row r="56" customHeight="1" spans="1:3">
      <c r="A56" s="1">
        <v>771</v>
      </c>
      <c r="B56" s="2" t="s">
        <v>25</v>
      </c>
      <c r="C56" s="2" t="s">
        <v>168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34" workbookViewId="0">
      <selection activeCell="A49" sqref="A4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15833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-15833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0.536853407440157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0.27366891934567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3000</v>
      </c>
      <c r="C28" s="16">
        <f>$B$28/$B$4</f>
        <v>0.189477673214173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15833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2026-03-08T11:28:00Z</dcterms:created>
  <dcterms:modified xsi:type="dcterms:W3CDTF">2026-09-14T13:43:12Z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