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<sst xmlns="http://schemas.openxmlformats.org/spreadsheetml/2006/main" count="262" uniqueCount="105">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</sst>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0" fontId="7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6:C71" totalsRowShown="0">
  <autoFilter ref="A66:C7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3" totalsRowShown="0">
  <autoFilter ref="A6:C63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5"/>
  <sheetViews>
    <sheetView tabSelected="1" workbookViewId="0">
      <selection activeCell="A16" sqref="A1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65390.29</v>
      </c>
    </row>
    <row r="2" customHeight="1" spans="1:2">
      <c r="A2" s="2" t="s">
        <v>44</v>
      </c>
      <c r="B2" s="3">
        <f>SUM(营业额明细表[营业额明细])</f>
        <v>60397.21</v>
      </c>
    </row>
    <row r="3" customHeight="1" spans="1:2">
      <c r="A3" s="2" t="s">
        <v>45</v>
      </c>
      <c r="B3" s="4">
        <f>B2-B1</f>
        <v>-4993.07999999999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195</v>
      </c>
      <c r="B54" s="8" t="s">
        <v>25</v>
      </c>
      <c r="C54" s="8" t="s">
        <v>97</v>
      </c>
    </row>
    <row r="55" customHeight="1" spans="1:3">
      <c r="A55" s="9">
        <v>33.9</v>
      </c>
      <c r="B55" s="8" t="s">
        <v>14</v>
      </c>
      <c r="C55" s="8" t="s">
        <v>98</v>
      </c>
    </row>
    <row r="56" customHeight="1" spans="1:3">
      <c r="A56" s="9">
        <v>1410</v>
      </c>
      <c r="B56" s="8" t="s">
        <v>25</v>
      </c>
      <c r="C56" s="8" t="s">
        <v>99</v>
      </c>
    </row>
    <row r="57" customHeight="1" spans="1:3">
      <c r="A57" s="9">
        <v>81.65</v>
      </c>
      <c r="B57" s="8" t="s">
        <v>14</v>
      </c>
      <c r="C57" s="8" t="s">
        <v>100</v>
      </c>
    </row>
    <row r="58" customHeight="1" spans="1:3">
      <c r="A58" s="9">
        <v>551.92</v>
      </c>
      <c r="B58" s="8" t="s">
        <v>25</v>
      </c>
      <c r="C58" s="8" t="s">
        <v>36</v>
      </c>
    </row>
    <row r="59" customHeight="1" spans="1:3">
      <c r="A59" s="9">
        <v>246</v>
      </c>
      <c r="B59" s="8" t="s">
        <v>25</v>
      </c>
      <c r="C59" s="8" t="s">
        <v>101</v>
      </c>
    </row>
    <row r="60" customHeight="1" spans="1:3">
      <c r="A60" s="9">
        <v>244.6</v>
      </c>
      <c r="B60" s="8" t="s">
        <v>25</v>
      </c>
      <c r="C60" s="8" t="s">
        <v>102</v>
      </c>
    </row>
    <row r="61" customHeight="1" spans="1:3">
      <c r="A61" s="9">
        <v>500</v>
      </c>
      <c r="B61" s="8" t="s">
        <v>25</v>
      </c>
      <c r="C61" s="8" t="s">
        <v>26</v>
      </c>
    </row>
    <row r="62" customHeight="1" spans="1:3">
      <c r="A62" s="9">
        <v>480</v>
      </c>
      <c r="B62" s="8" t="s">
        <v>25</v>
      </c>
      <c r="C62" s="8" t="s">
        <v>103</v>
      </c>
    </row>
    <row r="63" customHeight="1" spans="1:3">
      <c r="A63" s="10">
        <v>120</v>
      </c>
      <c r="B63" s="11" t="s">
        <v>25</v>
      </c>
      <c r="C63" s="11" t="s">
        <v>104</v>
      </c>
    </row>
    <row r="64" customHeight="1" spans="1:3">
      <c r="A64" s="2"/>
      <c r="B64" s="12"/>
      <c r="C64" s="6"/>
    </row>
    <row r="65" customHeight="1" spans="1:3">
      <c r="A65" s="2"/>
      <c r="B65" s="12"/>
      <c r="C65" s="6"/>
    </row>
    <row r="66" customHeight="1" spans="1:3">
      <c r="A66" s="2" t="s">
        <v>51</v>
      </c>
      <c r="B66" s="12" t="s">
        <v>4</v>
      </c>
      <c r="C66" s="6" t="s">
        <v>5</v>
      </c>
    </row>
    <row r="67" customHeight="1" spans="1:3">
      <c r="A67" s="13">
        <v>6783.56</v>
      </c>
      <c r="B67" s="12" t="s">
        <v>52</v>
      </c>
      <c r="C67" s="6"/>
    </row>
    <row r="68" customHeight="1" spans="1:3">
      <c r="A68" s="13">
        <v>1869.52</v>
      </c>
      <c r="B68" s="12" t="s">
        <v>53</v>
      </c>
      <c r="C68" s="6"/>
    </row>
    <row r="69" customHeight="1" spans="1:3">
      <c r="A69" s="13">
        <v>7343.59</v>
      </c>
      <c r="B69" s="12" t="s">
        <v>54</v>
      </c>
      <c r="C69" s="6"/>
    </row>
    <row r="70" customHeight="1" spans="1:3">
      <c r="A70" s="13">
        <v>23835.11</v>
      </c>
      <c r="B70" s="12" t="s">
        <v>55</v>
      </c>
      <c r="C70" s="6"/>
    </row>
    <row r="71" customHeight="1" spans="1:3">
      <c r="A71" s="14">
        <v>20565.43</v>
      </c>
      <c r="B71" s="12" t="s">
        <v>56</v>
      </c>
      <c r="C71" s="8"/>
    </row>
    <row r="73" customHeight="1" spans="1:3">
      <c r="A73" s="2"/>
      <c r="B73" s="3"/>
      <c r="C73" s="15"/>
    </row>
    <row r="74" customHeight="1" spans="1:3">
      <c r="A74" s="2"/>
      <c r="B74" s="3"/>
      <c r="C74" s="16"/>
    </row>
    <row r="75" customHeight="1" spans="1:3">
      <c r="A75" s="2"/>
      <c r="C75" s="16"/>
    </row>
  </sheetData>
  <dataValidations count="1">
    <dataValidation type="list" allowBlank="1" showInputMessage="1" showErrorMessage="1" sqref="B9 B52 B53 B54 B55 B56 B57 B58 B59 B60 B61 B62 B63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2026-02-12T11:28:00Z</dcterms:created>
  <dcterms:modified xsi:type="dcterms:W3CDTF">2026-03-26T13:57:50Z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