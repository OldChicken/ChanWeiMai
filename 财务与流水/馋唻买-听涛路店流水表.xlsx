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000" windowHeight="15860" tabRatio="600" firstSheet="1" activeTab="1" autoFilterDateGrouping="1"/>
  </bookViews>
  <sheets>
    <sheet name="开店成本清单" sheetId="1" state="visible" r:id="rId1"/>
    <sheet name="2026-02流水 " sheetId="2" state="visible" r:id="rId2"/>
    <sheet name="2026-03流水" sheetId="3" state="visible" r:id="rId3"/>
    <sheet name="2026-04流水" sheetId="4" state="visible" r:id="rId4"/>
  </sheets>
  <definedNames/>
  <calcPr calcId="144525" fullCalcOnLoad="1"/>
</workbook>
</file>

<file path=xl/styles.xml><?xml version="1.0" encoding="utf-8"?>
<styleSheet xmlns="http://schemas.openxmlformats.org/spreadsheetml/2006/main">
  <numFmts count="3">
    <numFmt numFmtId="164" formatCode="0.00_ ;[Red]\-0.00\ "/>
    <numFmt numFmtId="165" formatCode="0.00_);[Red]\(0.00\)"/>
    <numFmt numFmtId="166" formatCode="#,##0.00_ "/>
  </numFmts>
  <fonts count="33">
    <font>
      <name val="宋体"/>
      <charset val="134"/>
      <color theme="1"/>
      <sz val="11"/>
      <scheme val="minor"/>
    </font>
    <font>
      <name val="宋体"/>
      <charset val="134"/>
      <color theme="1"/>
      <sz val="11"/>
    </font>
    <font>
      <name val="宋体"/>
      <charset val="134"/>
      <i val="1"/>
      <color theme="1"/>
      <sz val="11"/>
      <scheme val="minor"/>
    </font>
    <font>
      <name val="宋体"/>
      <charset val="134"/>
      <b val="1"/>
      <color rgb="FF1F4E78"/>
      <sz val="13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sz val="10"/>
      <scheme val="minor"/>
    </font>
    <font>
      <name val="宋体"/>
      <charset val="134"/>
      <b val="1"/>
      <sz val="10"/>
      <scheme val="minor"/>
    </font>
    <font>
      <name val="宋体"/>
      <charset val="0"/>
      <color theme="1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theme="0"/>
      <sz val="11"/>
      <scheme val="minor"/>
    </font>
    <font>
      <name val="宋体"/>
      <charset val="0"/>
      <color rgb="FFFF0000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9C6500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0"/>
      <b val="1"/>
      <color theme="1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006100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i val="1"/>
      <color rgb="FF7F7F7F"/>
      <sz val="11"/>
      <scheme val="minor"/>
    </font>
    <font>
      <name val="宋体"/>
      <charset val="0"/>
      <color rgb="FF3F3F76"/>
      <sz val="11"/>
      <scheme val="minor"/>
    </font>
    <font>
      <b val="1"/>
      <color rgb="00FFFFFF"/>
      <sz val="14"/>
    </font>
    <font>
      <b val="1"/>
      <color rgb="00FFFFFF"/>
      <sz val="12"/>
    </font>
    <font>
      <b val="1"/>
      <color rgb="00203864"/>
      <sz val="14"/>
    </font>
    <font>
      <sz val="9"/>
    </font>
    <font>
      <b val="1"/>
      <color rgb="00FFFFFF"/>
      <sz val="11"/>
    </font>
    <font>
      <b val="1"/>
      <color rgb="00FFFFFF"/>
      <sz val="10"/>
    </font>
    <font>
      <b val="1"/>
      <sz val="9"/>
    </font>
  </fonts>
  <fills count="43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00203864"/>
        <bgColor rgb="00203864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E2EFDA"/>
        <bgColor rgb="00E2EFDA"/>
      </patternFill>
    </fill>
    <fill>
      <patternFill patternType="solid">
        <fgColor rgb="00C5504F"/>
        <bgColor rgb="00C5504F"/>
      </patternFill>
    </fill>
    <fill>
      <patternFill patternType="solid">
        <fgColor rgb="00F4CCCC"/>
        <bgColor rgb="00F4CC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/>
    <xf numFmtId="0" fontId="10" fillId="32" borderId="0" applyAlignment="1">
      <alignment vertical="center"/>
    </xf>
    <xf numFmtId="0" fontId="7" fillId="26" borderId="0" applyAlignment="1">
      <alignment vertical="center"/>
    </xf>
    <xf numFmtId="0" fontId="10" fillId="19" borderId="0" applyAlignment="1">
      <alignment vertical="center"/>
    </xf>
    <xf numFmtId="0" fontId="25" fillId="34" borderId="8" applyAlignment="1">
      <alignment vertical="center"/>
    </xf>
    <xf numFmtId="0" fontId="7" fillId="31" borderId="0" applyAlignment="1">
      <alignment vertical="center"/>
    </xf>
    <xf numFmtId="0" fontId="7" fillId="12" borderId="0" applyAlignment="1">
      <alignment vertical="center"/>
    </xf>
    <xf numFmtId="44" fontId="0" fillId="0" borderId="0" applyAlignment="1">
      <alignment vertical="center"/>
    </xf>
    <xf numFmtId="0" fontId="10" fillId="23" borderId="0" applyAlignment="1">
      <alignment vertical="center"/>
    </xf>
    <xf numFmtId="9" fontId="0" fillId="0" borderId="0" applyAlignment="1">
      <alignment vertical="center"/>
    </xf>
    <xf numFmtId="0" fontId="10" fillId="33" borderId="0" applyAlignment="1">
      <alignment vertical="center"/>
    </xf>
    <xf numFmtId="0" fontId="10" fillId="25" borderId="0" applyAlignment="1">
      <alignment vertical="center"/>
    </xf>
    <xf numFmtId="0" fontId="10" fillId="22" borderId="0" applyAlignment="1">
      <alignment vertical="center"/>
    </xf>
    <xf numFmtId="0" fontId="10" fillId="20" borderId="0" applyAlignment="1">
      <alignment vertical="center"/>
    </xf>
    <xf numFmtId="0" fontId="10" fillId="8" borderId="0" applyAlignment="1">
      <alignment vertical="center"/>
    </xf>
    <xf numFmtId="0" fontId="23" fillId="13" borderId="8" applyAlignment="1">
      <alignment vertical="center"/>
    </xf>
    <xf numFmtId="0" fontId="10" fillId="17" borderId="0" applyAlignment="1">
      <alignment vertical="center"/>
    </xf>
    <xf numFmtId="0" fontId="14" fillId="9" borderId="0" applyAlignment="1">
      <alignment vertical="center"/>
    </xf>
    <xf numFmtId="0" fontId="7" fillId="18" borderId="0" applyAlignment="1">
      <alignment vertical="center"/>
    </xf>
    <xf numFmtId="0" fontId="20" fillId="24" borderId="0" applyAlignment="1">
      <alignment vertical="center"/>
    </xf>
    <xf numFmtId="0" fontId="7" fillId="16" borderId="0" applyAlignment="1">
      <alignment vertical="center"/>
    </xf>
    <xf numFmtId="0" fontId="18" fillId="0" borderId="6" applyAlignment="1">
      <alignment vertical="center"/>
    </xf>
    <xf numFmtId="0" fontId="8" fillId="6" borderId="0" applyAlignment="1">
      <alignment vertical="center"/>
    </xf>
    <xf numFmtId="0" fontId="16" fillId="14" borderId="4" applyAlignment="1">
      <alignment vertical="center"/>
    </xf>
    <xf numFmtId="0" fontId="15" fillId="13" borderId="3" applyAlignment="1">
      <alignment vertical="center"/>
    </xf>
    <xf numFmtId="0" fontId="17" fillId="0" borderId="5" applyAlignment="1">
      <alignment vertical="center"/>
    </xf>
    <xf numFmtId="0" fontId="24" fillId="0" borderId="0" applyAlignment="1">
      <alignment vertical="center"/>
    </xf>
    <xf numFmtId="0" fontId="7" fillId="10" borderId="0" applyAlignment="1">
      <alignment vertical="center"/>
    </xf>
    <xf numFmtId="0" fontId="22" fillId="0" borderId="0" applyAlignment="1">
      <alignment vertical="center"/>
    </xf>
    <xf numFmtId="42" fontId="0" fillId="0" borderId="0" applyAlignment="1">
      <alignment vertical="center"/>
    </xf>
    <xf numFmtId="0" fontId="7" fillId="15" borderId="0" applyAlignment="1">
      <alignment vertical="center"/>
    </xf>
    <xf numFmtId="43" fontId="0" fillId="0" borderId="0" applyAlignment="1">
      <alignment vertical="center"/>
    </xf>
    <xf numFmtId="0" fontId="13" fillId="0" borderId="0" applyAlignment="1">
      <alignment vertical="center"/>
    </xf>
    <xf numFmtId="0" fontId="19" fillId="0" borderId="0" applyAlignment="1">
      <alignment vertical="center"/>
    </xf>
    <xf numFmtId="0" fontId="7" fillId="21" borderId="0" applyAlignment="1">
      <alignment vertical="center"/>
    </xf>
    <xf numFmtId="0" fontId="11" fillId="0" borderId="0" applyAlignment="1">
      <alignment vertical="center"/>
    </xf>
    <xf numFmtId="0" fontId="10" fillId="29" borderId="0" applyAlignment="1">
      <alignment vertical="center"/>
    </xf>
    <xf numFmtId="0" fontId="0" fillId="28" borderId="7" applyAlignment="1">
      <alignment vertical="center"/>
    </xf>
    <xf numFmtId="0" fontId="7" fillId="11" borderId="0" applyAlignment="1">
      <alignment vertical="center"/>
    </xf>
    <xf numFmtId="0" fontId="10" fillId="7" borderId="0" applyAlignment="1">
      <alignment vertical="center"/>
    </xf>
    <xf numFmtId="0" fontId="7" fillId="30" borderId="0" applyAlignment="1">
      <alignment vertical="center"/>
    </xf>
    <xf numFmtId="0" fontId="9" fillId="0" borderId="0" applyAlignment="1">
      <alignment vertical="center"/>
    </xf>
    <xf numFmtId="41" fontId="0" fillId="0" borderId="0" applyAlignment="1">
      <alignment vertical="center"/>
    </xf>
    <xf numFmtId="0" fontId="21" fillId="0" borderId="5" applyAlignment="1">
      <alignment vertical="center"/>
    </xf>
    <xf numFmtId="0" fontId="7" fillId="5" borderId="0" applyAlignment="1">
      <alignment vertical="center"/>
    </xf>
    <xf numFmtId="0" fontId="22" fillId="0" borderId="9" applyAlignment="1">
      <alignment vertical="center"/>
    </xf>
    <xf numFmtId="0" fontId="10" fillId="27" borderId="0" applyAlignment="1">
      <alignment vertical="center"/>
    </xf>
    <xf numFmtId="0" fontId="7" fillId="4" borderId="0" applyAlignment="1">
      <alignment vertical="center"/>
    </xf>
    <xf numFmtId="0" fontId="12" fillId="0" borderId="2" applyAlignment="1">
      <alignment vertical="center"/>
    </xf>
  </cellStyleXfs>
  <cellXfs count="55">
    <xf numFmtId="0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left"/>
    </xf>
    <xf numFmtId="165" fontId="0" fillId="0" borderId="0" pivotButton="0" quotePrefix="0" xfId="0"/>
    <xf numFmtId="4" fontId="0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4" fontId="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0" fontId="2" fillId="0" borderId="0" pivotButton="0" quotePrefix="0" xfId="0"/>
    <xf numFmtId="3" fontId="0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166" fontId="1" fillId="0" borderId="0" applyAlignment="1" pivotButton="0" quotePrefix="0" xfId="0">
      <alignment horizontal="left"/>
    </xf>
    <xf numFmtId="165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0" fontId="3" fillId="0" borderId="0" pivotButton="0" quotePrefix="0" xfId="0"/>
    <xf numFmtId="10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2" fontId="6" fillId="3" borderId="1" applyAlignment="1" pivotButton="0" quotePrefix="0" xfId="0">
      <alignment horizontal="center"/>
    </xf>
    <xf numFmtId="10" fontId="6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4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165" fontId="0" fillId="0" borderId="0" applyAlignment="1" pivotButton="0" quotePrefix="0" xfId="0">
      <alignment horizontal="left"/>
    </xf>
    <xf numFmtId="165" fontId="1" fillId="0" borderId="0" applyAlignment="1" pivotButton="0" quotePrefix="0" xfId="0">
      <alignment horizontal="left"/>
    </xf>
    <xf numFmtId="165" fontId="0" fillId="0" borderId="0" pivotButton="0" quotePrefix="0" xfId="0"/>
    <xf numFmtId="0" fontId="26" fillId="35" borderId="0" applyAlignment="1" pivotButton="0" quotePrefix="0" xfId="0">
      <alignment horizontal="center" vertical="center"/>
    </xf>
    <xf numFmtId="0" fontId="27" fillId="36" borderId="10" applyAlignment="1" pivotButton="0" quotePrefix="0" xfId="0">
      <alignment horizontal="center" vertical="center"/>
    </xf>
    <xf numFmtId="2" fontId="28" fillId="37" borderId="10" applyAlignment="1" pivotButton="0" quotePrefix="0" xfId="0">
      <alignment horizontal="center" vertical="center"/>
    </xf>
    <xf numFmtId="0" fontId="29" fillId="0" borderId="10" applyAlignment="1" pivotButton="0" quotePrefix="0" xfId="0">
      <alignment horizontal="center" vertical="center"/>
    </xf>
    <xf numFmtId="10" fontId="28" fillId="37" borderId="10" applyAlignment="1" pivotButton="0" quotePrefix="0" xfId="0">
      <alignment horizontal="center" vertical="center"/>
    </xf>
    <xf numFmtId="0" fontId="30" fillId="38" borderId="0" applyAlignment="1" pivotButton="0" quotePrefix="0" xfId="0">
      <alignment horizontal="center" vertical="center"/>
    </xf>
    <xf numFmtId="0" fontId="31" fillId="39" borderId="10" applyAlignment="1" pivotButton="0" quotePrefix="0" xfId="0">
      <alignment horizontal="center" vertical="center"/>
    </xf>
    <xf numFmtId="0" fontId="29" fillId="0" borderId="10" applyAlignment="1" pivotButton="0" quotePrefix="0" xfId="0">
      <alignment horizontal="center"/>
    </xf>
    <xf numFmtId="2" fontId="29" fillId="0" borderId="10" applyAlignment="1" pivotButton="0" quotePrefix="0" xfId="0">
      <alignment horizontal="center"/>
    </xf>
    <xf numFmtId="10" fontId="29" fillId="0" borderId="10" applyAlignment="1" pivotButton="0" quotePrefix="0" xfId="0">
      <alignment horizontal="center"/>
    </xf>
    <xf numFmtId="0" fontId="32" fillId="40" borderId="10" applyAlignment="1" pivotButton="0" quotePrefix="0" xfId="0">
      <alignment horizontal="center"/>
    </xf>
    <xf numFmtId="2" fontId="32" fillId="40" borderId="10" applyAlignment="1" pivotButton="0" quotePrefix="0" xfId="0">
      <alignment horizontal="center"/>
    </xf>
    <xf numFmtId="10" fontId="32" fillId="40" borderId="10" applyAlignment="1" pivotButton="0" quotePrefix="0" xfId="0">
      <alignment horizontal="center"/>
    </xf>
    <xf numFmtId="0" fontId="30" fillId="41" borderId="0" applyAlignment="1" pivotButton="0" quotePrefix="0" xfId="0">
      <alignment horizontal="center" vertical="center"/>
    </xf>
    <xf numFmtId="0" fontId="32" fillId="42" borderId="10" applyAlignment="1" pivotButton="0" quotePrefix="0" xfId="0">
      <alignment horizontal="center"/>
    </xf>
    <xf numFmtId="2" fontId="32" fillId="42" borderId="10" applyAlignment="1" pivotButton="0" quotePrefix="0" xfId="0">
      <alignment horizontal="center"/>
    </xf>
    <xf numFmtId="10" fontId="32" fillId="42" borderId="10" applyAlignment="1" pivotButton="0" quotePrefix="0" xfId="0">
      <alignment horizontal="center"/>
    </xf>
    <xf numFmtId="166" fontId="0" fillId="0" borderId="0" applyAlignment="1" pivotButton="0" quotePrefix="0" xfId="0">
      <alignment horizontal="left"/>
    </xf>
    <xf numFmtId="164" fontId="0" fillId="0" borderId="0" pivotButton="0" quotePrefix="0" xfId="0"/>
    <xf numFmtId="164" fontId="0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6" fontId="1" fillId="0" borderId="0" applyAlignment="1" pivotButton="0" quotePrefix="0" xfId="0">
      <alignment horizontal="left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charset val="134"/>
        <strike val="0"/>
        <color theme="1"/>
        <sz val="11"/>
      </font>
      <numFmt numFmtId="177" formatCode="0.00_);[Red]\(0.00\)"/>
    </dxf>
    <dxf>
      <font>
        <name val="宋体"/>
        <charset val="134"/>
        <strike val="0"/>
        <color theme="1"/>
        <sz val="11"/>
      </font>
    </dxf>
    <dxf>
      <font>
        <name val="宋体"/>
        <charset val="134"/>
        <strike val="0"/>
        <color theme="1"/>
        <sz val="11"/>
      </font>
    </dxf>
    <dxf>
      <font>
        <name val="宋体"/>
        <charset val="134"/>
        <strike val="0"/>
        <color theme="1"/>
        <sz val="11"/>
      </font>
      <numFmt numFmtId="176" formatCode="#,##0.00_ "/>
      <alignment horizontal="left"/>
    </dxf>
    <dxf>
      <font>
        <name val="宋体"/>
        <charset val="134"/>
        <strike val="0"/>
        <color theme="1"/>
        <sz val="11"/>
      </font>
      <alignment horizontal="left"/>
    </dxf>
    <dxf>
      <font>
        <name val="宋体"/>
        <charset val="134"/>
        <strike val="0"/>
        <color theme="1"/>
        <sz val="11"/>
      </font>
      <numFmt numFmtId="4" formatCode="#,##0.00"/>
      <alignment horizontal="left"/>
    </dxf>
    <dxf>
      <font>
        <name val="宋体"/>
        <charset val="134"/>
        <strike val="0"/>
        <color theme="1"/>
        <sz val="11"/>
      </font>
      <numFmt numFmtId="178" formatCode="0.00_ ;[Red]\-0.00\ "/>
      <alignment horizontal="left"/>
    </dxf>
    <dxf>
      <font>
        <name val="宋体"/>
        <charset val="134"/>
        <strike val="0"/>
        <color theme="1"/>
        <sz val="11"/>
      </font>
      <numFmt numFmtId="4" formatCode="#,##0.00"/>
      <alignment horizontal="left"/>
    </dxf>
    <dxf>
      <font>
        <name val="宋体"/>
        <charset val="134"/>
        <strike val="0"/>
        <color theme="1"/>
        <sz val="11"/>
      </font>
      <numFmt numFmtId="4" formatCode="#,##0.00"/>
      <alignment horizontal="left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成本明细" displayName="成本明细" ref="A5:C43" headerRowCount="1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0:C35" headerRowCount="1" totalsRowShown="0">
  <autoFilter ref="A30:C35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7:C26" headerRowCount="1" totalsRowShown="0">
  <autoFilter ref="A7:C2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headerRowCount="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headerRowCount="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headerRowCount="1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headerRowCount="1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C43"/>
  <sheetViews>
    <sheetView workbookViewId="0">
      <selection activeCell="A9" sqref="A9"/>
    </sheetView>
  </sheetViews>
  <sheetFormatPr baseColWidth="8" defaultColWidth="9" defaultRowHeight="16.8"/>
  <cols>
    <col width="23.75" customWidth="1" style="12" min="1" max="1"/>
    <col width="20.375" customWidth="1" min="2" max="2"/>
    <col width="37.25" customWidth="1" style="27" min="3" max="3"/>
  </cols>
  <sheetData>
    <row r="1" ht="15" customHeight="1">
      <c r="A1" s="12" t="inlineStr">
        <is>
          <t>总预算(元)</t>
        </is>
      </c>
      <c r="C1" s="9" t="n">
        <v>100000</v>
      </c>
    </row>
    <row r="2" ht="15" customHeight="1">
      <c r="A2" s="12" t="inlineStr">
        <is>
          <t>实际总花费(元)</t>
        </is>
      </c>
      <c r="C2" s="10">
        <f>SUM(成本明细[金额(元)])</f>
        <v/>
      </c>
    </row>
    <row r="3" ht="15" customHeight="1">
      <c r="A3" s="12" t="inlineStr">
        <is>
          <t>余额(元)</t>
        </is>
      </c>
      <c r="C3" s="10">
        <f>C1-C2</f>
        <v/>
      </c>
    </row>
    <row r="4" ht="15" customHeight="1"/>
    <row r="5" ht="15" customHeight="1">
      <c r="A5" s="12" t="inlineStr">
        <is>
          <t>金额(元)</t>
        </is>
      </c>
      <c r="B5" s="26" t="inlineStr">
        <is>
          <t>分类</t>
        </is>
      </c>
      <c r="C5" s="4" t="inlineStr">
        <is>
          <t>说明</t>
        </is>
      </c>
    </row>
    <row r="6" ht="15" customHeight="1">
      <c r="A6" s="30" t="n">
        <v>10000</v>
      </c>
      <c r="B6" t="inlineStr">
        <is>
          <t>房租</t>
        </is>
      </c>
      <c r="C6" s="4" t="inlineStr">
        <is>
          <t>房租押金</t>
        </is>
      </c>
    </row>
    <row r="7" ht="15" customHeight="1">
      <c r="A7" s="30" t="n">
        <v>26000</v>
      </c>
      <c r="B7" t="inlineStr">
        <is>
          <t>房租</t>
        </is>
      </c>
      <c r="C7" s="4" t="inlineStr">
        <is>
          <t>半年房租：年租金5.2万，半年付</t>
        </is>
      </c>
    </row>
    <row r="8" ht="15" customHeight="1">
      <c r="A8" s="30" t="n">
        <v>6000</v>
      </c>
      <c r="B8" t="inlineStr">
        <is>
          <t>装修</t>
        </is>
      </c>
      <c r="C8" s="4" t="inlineStr">
        <is>
          <t>装修押金</t>
        </is>
      </c>
    </row>
    <row r="9" ht="15" customHeight="1">
      <c r="A9" s="30" t="n">
        <v>3000</v>
      </c>
      <c r="B9" t="inlineStr">
        <is>
          <t>装修</t>
        </is>
      </c>
      <c r="C9" s="4" t="inlineStr">
        <is>
          <t>广告牌、灯牌费用</t>
        </is>
      </c>
    </row>
    <row r="10" ht="15" customHeight="1">
      <c r="A10" s="30" t="n">
        <v>2100</v>
      </c>
      <c r="B10" t="inlineStr">
        <is>
          <t>装修</t>
        </is>
      </c>
      <c r="C10" s="4" t="inlineStr">
        <is>
          <t>物业水管改造</t>
        </is>
      </c>
    </row>
    <row r="11" ht="15" customHeight="1">
      <c r="A11" s="30" t="n">
        <v>340</v>
      </c>
      <c r="B11" t="inlineStr">
        <is>
          <t>装修</t>
        </is>
      </c>
      <c r="C11" s="4" t="inlineStr">
        <is>
          <t>隔壁改装水电</t>
        </is>
      </c>
    </row>
    <row r="12" ht="15" customHeight="1">
      <c r="A12" s="30" t="n">
        <v>200</v>
      </c>
      <c r="B12" t="inlineStr">
        <is>
          <t>其他</t>
        </is>
      </c>
      <c r="C12" s="4" t="inlineStr">
        <is>
          <t>外卖商品照片</t>
        </is>
      </c>
    </row>
    <row r="13" ht="15" customHeight="1">
      <c r="A13" s="30" t="n">
        <v>11000</v>
      </c>
      <c r="B13" t="inlineStr">
        <is>
          <t>设备</t>
        </is>
      </c>
      <c r="C13" s="4" t="inlineStr">
        <is>
          <t>设备+零散材料</t>
        </is>
      </c>
    </row>
    <row r="14" ht="15" customHeight="1">
      <c r="A14" s="30" t="n">
        <v>5000</v>
      </c>
      <c r="B14" t="inlineStr">
        <is>
          <t>装修</t>
        </is>
      </c>
      <c r="C14" s="4" t="inlineStr">
        <is>
          <t>装修水电进场</t>
        </is>
      </c>
    </row>
    <row r="15" ht="15" customHeight="1">
      <c r="A15" s="30" t="n">
        <v>755</v>
      </c>
      <c r="B15" t="inlineStr">
        <is>
          <t>设备</t>
        </is>
      </c>
      <c r="C15" s="4" t="inlineStr">
        <is>
          <t>桌椅首批</t>
        </is>
      </c>
    </row>
    <row r="16" ht="15" customHeight="1">
      <c r="A16" s="30" t="n">
        <v>190</v>
      </c>
      <c r="B16" t="inlineStr">
        <is>
          <t>装修</t>
        </is>
      </c>
      <c r="C16" s="4" t="inlineStr">
        <is>
          <t>门头设计</t>
        </is>
      </c>
    </row>
    <row r="17" ht="15" customHeight="1">
      <c r="A17" s="30" t="n">
        <v>405.9</v>
      </c>
      <c r="B17" t="inlineStr">
        <is>
          <t>设备</t>
        </is>
      </c>
      <c r="C17" s="4" t="inlineStr">
        <is>
          <t>小票打印机</t>
        </is>
      </c>
    </row>
    <row r="18" ht="15" customHeight="1">
      <c r="A18" s="30" t="n">
        <v>228</v>
      </c>
      <c r="B18" t="inlineStr">
        <is>
          <t>设备</t>
        </is>
      </c>
      <c r="C18" s="4" t="inlineStr">
        <is>
          <t>烤肠机</t>
        </is>
      </c>
    </row>
    <row r="19" ht="15" customHeight="1">
      <c r="A19" s="30" t="n">
        <v>639.5</v>
      </c>
      <c r="B19" t="inlineStr">
        <is>
          <t>设备</t>
        </is>
      </c>
      <c r="C19" s="4" t="inlineStr">
        <is>
          <t>油烟机</t>
        </is>
      </c>
    </row>
    <row r="20" ht="15" customHeight="1">
      <c r="A20" s="30" t="n">
        <v>1259.1</v>
      </c>
      <c r="B20" t="inlineStr">
        <is>
          <t>设备</t>
        </is>
      </c>
      <c r="C20" s="4" t="inlineStr">
        <is>
          <t>小米手机</t>
        </is>
      </c>
    </row>
    <row r="21" ht="15" customHeight="1">
      <c r="A21" s="30" t="n">
        <v>1000</v>
      </c>
      <c r="B21" t="inlineStr">
        <is>
          <t>食材</t>
        </is>
      </c>
      <c r="C21" s="27" t="inlineStr">
        <is>
          <t>快驴充值</t>
        </is>
      </c>
    </row>
    <row r="22" ht="15" customHeight="1">
      <c r="A22" s="30" t="n">
        <v>13260</v>
      </c>
      <c r="B22" t="inlineStr">
        <is>
          <t>食材</t>
        </is>
      </c>
      <c r="C22" s="4" t="inlineStr">
        <is>
          <t>开店首批食材</t>
        </is>
      </c>
    </row>
    <row r="23" ht="15" customHeight="1">
      <c r="A23" s="30" t="n">
        <v>47.97</v>
      </c>
      <c r="B23" t="inlineStr">
        <is>
          <t>其他</t>
        </is>
      </c>
      <c r="C23" s="4" t="inlineStr">
        <is>
          <t>员工工作服</t>
        </is>
      </c>
    </row>
    <row r="24" ht="15" customHeight="1">
      <c r="A24" s="30" t="n">
        <v>276.1</v>
      </c>
      <c r="B24" t="inlineStr">
        <is>
          <t>其他</t>
        </is>
      </c>
      <c r="C24" s="4" t="inlineStr">
        <is>
          <t>扫码点餐物料</t>
        </is>
      </c>
    </row>
    <row r="25" ht="15" customHeight="1">
      <c r="A25" s="30" t="n">
        <v>6000</v>
      </c>
      <c r="B25" t="inlineStr">
        <is>
          <t>装修</t>
        </is>
      </c>
      <c r="C25" s="27" t="inlineStr">
        <is>
          <t>装修尾款</t>
        </is>
      </c>
    </row>
    <row r="26" ht="15" customHeight="1">
      <c r="A26" s="30" t="n">
        <v>640</v>
      </c>
      <c r="B26" t="inlineStr">
        <is>
          <t>装修</t>
        </is>
      </c>
      <c r="C26" s="27" t="inlineStr">
        <is>
          <t>外卖店铺装修</t>
        </is>
      </c>
    </row>
    <row r="27" ht="15" customHeight="1">
      <c r="A27" s="30" t="n">
        <v>500</v>
      </c>
      <c r="B27" t="inlineStr">
        <is>
          <t>推广</t>
        </is>
      </c>
      <c r="C27" s="27" t="inlineStr">
        <is>
          <t>外卖首日刷单</t>
        </is>
      </c>
    </row>
    <row r="28" ht="15" customHeight="1">
      <c r="A28" s="30" t="n">
        <v>600</v>
      </c>
      <c r="B28" t="inlineStr">
        <is>
          <t>推广</t>
        </is>
      </c>
      <c r="C28" s="27" t="inlineStr">
        <is>
          <t>淘宝300+美团300，首充</t>
        </is>
      </c>
    </row>
    <row r="29" ht="15" customHeight="1">
      <c r="A29" s="30" t="n">
        <v>938</v>
      </c>
      <c r="B29" t="inlineStr">
        <is>
          <t>食材</t>
        </is>
      </c>
      <c r="C29" s="27" t="inlineStr">
        <is>
          <t>包装盒补货</t>
        </is>
      </c>
    </row>
    <row r="30" ht="15" customHeight="1">
      <c r="A30" s="30" t="n">
        <v>1000</v>
      </c>
      <c r="B30" t="inlineStr">
        <is>
          <t>食材</t>
        </is>
      </c>
      <c r="C30" s="27" t="inlineStr">
        <is>
          <t>快驴充值</t>
        </is>
      </c>
    </row>
    <row r="31" ht="15" customHeight="1">
      <c r="A31" s="30" t="n">
        <v>60.5</v>
      </c>
      <c r="B31" t="inlineStr">
        <is>
          <t>食材</t>
        </is>
      </c>
      <c r="C31" s="27" t="inlineStr">
        <is>
          <t>火鸡面补货</t>
        </is>
      </c>
    </row>
    <row r="32" ht="15" customHeight="1">
      <c r="A32" s="30" t="n">
        <v>162.41</v>
      </c>
      <c r="B32" t="inlineStr">
        <is>
          <t>水电</t>
        </is>
      </c>
      <c r="C32" s="27" t="inlineStr">
        <is>
          <t>一月电费</t>
        </is>
      </c>
    </row>
    <row r="33" ht="15" customHeight="1">
      <c r="A33" s="30" t="n">
        <v>42.16</v>
      </c>
      <c r="B33" t="inlineStr">
        <is>
          <t>食材</t>
        </is>
      </c>
      <c r="C33" s="27" t="inlineStr">
        <is>
          <t>包装盒补货</t>
        </is>
      </c>
    </row>
    <row r="34" ht="15" customHeight="1">
      <c r="A34" s="30" t="n">
        <v>1000</v>
      </c>
      <c r="B34" t="inlineStr">
        <is>
          <t>食材</t>
        </is>
      </c>
      <c r="C34" s="27" t="inlineStr">
        <is>
          <t>快驴充值</t>
        </is>
      </c>
    </row>
    <row r="35" ht="15" customHeight="1">
      <c r="A35" s="31" t="n">
        <v>500</v>
      </c>
      <c r="B35" s="28" t="inlineStr">
        <is>
          <t>装修</t>
        </is>
      </c>
      <c r="C35" s="29" t="inlineStr">
        <is>
          <t>其他杂项：床+宽带</t>
        </is>
      </c>
    </row>
    <row r="36" ht="15" customHeight="1">
      <c r="A36" s="31" t="n">
        <v>1300</v>
      </c>
      <c r="B36" s="28" t="inlineStr">
        <is>
          <t>食材</t>
        </is>
      </c>
      <c r="C36" s="29" t="inlineStr">
        <is>
          <t>自购食材(非快驴、老家进货)</t>
        </is>
      </c>
    </row>
    <row r="37" ht="15" customHeight="1">
      <c r="A37" s="31" t="n">
        <v>253.84</v>
      </c>
      <c r="B37" s="28" t="inlineStr">
        <is>
          <t>食材</t>
        </is>
      </c>
      <c r="C37" s="29" t="inlineStr">
        <is>
          <t>火鸡面补货</t>
        </is>
      </c>
    </row>
    <row r="38" ht="15" customHeight="1">
      <c r="A38" s="31" t="n">
        <v>1000</v>
      </c>
      <c r="B38" s="28" t="inlineStr">
        <is>
          <t>食材</t>
        </is>
      </c>
      <c r="C38" s="29" t="inlineStr">
        <is>
          <t>快驴充值</t>
        </is>
      </c>
    </row>
    <row r="39" ht="15" customHeight="1">
      <c r="A39" s="31" t="n">
        <v>355.3</v>
      </c>
      <c r="B39" s="28" t="inlineStr">
        <is>
          <t>食材</t>
        </is>
      </c>
      <c r="C39" s="29" t="inlineStr">
        <is>
          <t>火鸡面补货</t>
        </is>
      </c>
    </row>
    <row r="40" ht="15" customHeight="1">
      <c r="A40" s="31" t="n">
        <v>3000</v>
      </c>
      <c r="B40" s="28" t="inlineStr">
        <is>
          <t>食材</t>
        </is>
      </c>
      <c r="C40" s="29" t="inlineStr">
        <is>
          <t>主食材补货</t>
        </is>
      </c>
    </row>
    <row r="41" ht="15" customHeight="1">
      <c r="A41" s="31" t="n">
        <v>174</v>
      </c>
      <c r="B41" s="28" t="inlineStr">
        <is>
          <t>食材</t>
        </is>
      </c>
      <c r="C41" s="29" t="inlineStr">
        <is>
          <t>火鸡面补货</t>
        </is>
      </c>
    </row>
    <row r="42" ht="15" customHeight="1">
      <c r="A42" s="31" t="n">
        <v>33.6</v>
      </c>
      <c r="B42" s="28" t="inlineStr">
        <is>
          <t>其他</t>
        </is>
      </c>
      <c r="C42" s="29" t="inlineStr">
        <is>
          <t>硅胶防烫套</t>
        </is>
      </c>
    </row>
    <row r="43" ht="15" customHeight="1">
      <c r="A43" s="31" t="n">
        <v>500</v>
      </c>
      <c r="B43" s="28" t="inlineStr">
        <is>
          <t>食材</t>
        </is>
      </c>
      <c r="C43" s="29" t="inlineStr">
        <is>
          <t>快驴充值</t>
        </is>
      </c>
    </row>
  </sheetData>
  <dataValidations count="2">
    <dataValidation sqref="F15:F16" showDropDown="0" showInputMessage="1" showErrorMessage="1" allowBlank="1" type="list">
      <formula1>"房租，装修，其他，设备，食材，推广，水电"</formula1>
    </dataValidation>
    <dataValidation sqref="B6:B42 B43 F5:F14" showDropDown="0" showInputMessage="1" showErrorMessage="1" allowBlank="1" type="list">
      <formula1>"房租,装修,其他,设备,食材,推广,水电"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/>
    <pageSetUpPr/>
  </sheetPr>
  <dimension ref="A1:G81"/>
  <sheetViews>
    <sheetView tabSelected="1" topLeftCell="A34" zoomScale="112" zoomScaleNormal="112" workbookViewId="0">
      <selection activeCell="C59" sqref="C59"/>
    </sheetView>
  </sheetViews>
  <sheetFormatPr baseColWidth="8" defaultColWidth="9" defaultRowHeight="15" customHeight="1"/>
  <cols>
    <col width="15" customWidth="1" min="1" max="1"/>
    <col width="27.4711538461538" customWidth="1" min="2" max="2"/>
    <col width="40.625" customWidth="1" min="3" max="3"/>
    <col width="20" customWidth="1" min="4" max="4"/>
    <col width="12" customWidth="1" min="5" max="5"/>
    <col width="13" customWidth="1" min="6" max="6"/>
    <col width="12" customWidth="1" min="7" max="7"/>
  </cols>
  <sheetData>
    <row r="1">
      <c r="A1" s="12" t="inlineStr">
        <is>
          <t>支出合计</t>
        </is>
      </c>
      <c r="B1" s="32">
        <f>SUM(支出明细2602[支出明细])</f>
        <v/>
      </c>
    </row>
    <row r="2" ht="25" customHeight="1">
      <c r="A2" s="12" t="inlineStr">
        <is>
          <t>收入合计</t>
        </is>
      </c>
      <c r="B2" s="32">
        <f>SUM(收入明细2602[收入明细])</f>
        <v/>
      </c>
      <c r="E2" s="33" t="inlineStr">
        <is>
          <t>2026年2月 财务分析汇总</t>
        </is>
      </c>
    </row>
    <row r="3">
      <c r="A3" s="12" t="inlineStr">
        <is>
          <t>净利润</t>
        </is>
      </c>
      <c r="B3" s="32">
        <f>B2-B1</f>
        <v/>
      </c>
    </row>
    <row r="4" ht="22" customHeight="1">
      <c r="E4" s="34" t="inlineStr">
        <is>
          <t>总收入</t>
        </is>
      </c>
      <c r="F4" s="35" t="n">
        <v>42435.74</v>
      </c>
      <c r="G4" s="36" t="inlineStr">
        <is>
          <t>元</t>
        </is>
      </c>
    </row>
    <row r="5" ht="22" customHeight="1">
      <c r="A5" s="30" t="n"/>
      <c r="B5" s="4" t="n"/>
      <c r="C5" s="4" t="n"/>
      <c r="E5" s="34" t="inlineStr">
        <is>
          <t>总支出</t>
        </is>
      </c>
      <c r="F5" s="35" t="n">
        <v>37512.81</v>
      </c>
      <c r="G5" s="36" t="inlineStr">
        <is>
          <t>元</t>
        </is>
      </c>
    </row>
    <row r="6" ht="22" customHeight="1">
      <c r="A6" s="30" t="n"/>
      <c r="B6" s="4" t="n"/>
      <c r="C6" s="4" t="n"/>
      <c r="E6" s="34" t="inlineStr">
        <is>
          <t>毛利润</t>
        </is>
      </c>
      <c r="F6" s="35" t="n">
        <v>18551.94</v>
      </c>
      <c r="G6" s="36" t="inlineStr">
        <is>
          <t>元</t>
        </is>
      </c>
    </row>
    <row r="7" ht="22" customHeight="1">
      <c r="A7" s="30" t="inlineStr">
        <is>
          <t>支出明细</t>
        </is>
      </c>
      <c r="B7" s="4" t="inlineStr">
        <is>
          <t>分类</t>
        </is>
      </c>
      <c r="C7" s="4" t="inlineStr">
        <is>
          <t>说明</t>
        </is>
      </c>
      <c r="E7" s="34" t="inlineStr">
        <is>
          <t>净利润</t>
        </is>
      </c>
      <c r="F7" s="35" t="n">
        <v>4922.93</v>
      </c>
      <c r="G7" s="36" t="inlineStr">
        <is>
          <t>元</t>
        </is>
      </c>
    </row>
    <row r="8" ht="22" customHeight="1">
      <c r="A8" s="30" t="n">
        <v>4333</v>
      </c>
      <c r="B8" s="4" t="inlineStr">
        <is>
          <t>房租</t>
        </is>
      </c>
      <c r="C8" s="4" t="inlineStr">
        <is>
          <t>月租金</t>
        </is>
      </c>
      <c r="E8" s="34" t="inlineStr">
        <is>
          <t>毛利率</t>
        </is>
      </c>
      <c r="F8" s="37" t="n">
        <v>0.4372</v>
      </c>
      <c r="G8" s="36" t="inlineStr">
        <is>
          <t>%</t>
        </is>
      </c>
    </row>
    <row r="9" ht="22" customHeight="1">
      <c r="A9" s="30" t="n">
        <v>8500</v>
      </c>
      <c r="B9" s="4" t="inlineStr">
        <is>
          <t>工资</t>
        </is>
      </c>
      <c r="C9" s="4" t="inlineStr">
        <is>
          <t>员工工资</t>
        </is>
      </c>
      <c r="E9" s="34" t="inlineStr">
        <is>
          <t>净利率</t>
        </is>
      </c>
      <c r="F9" s="37" t="n">
        <v>0.116</v>
      </c>
      <c r="G9" s="36" t="inlineStr">
        <is>
          <t>%</t>
        </is>
      </c>
    </row>
    <row r="10">
      <c r="A10" s="30" t="n">
        <v>1000</v>
      </c>
      <c r="B10" s="4" t="inlineStr">
        <is>
          <t>食材</t>
        </is>
      </c>
      <c r="C10" s="4" t="inlineStr">
        <is>
          <t>快驴充值</t>
        </is>
      </c>
    </row>
    <row r="11" ht="20" customHeight="1">
      <c r="A11" s="30" t="n">
        <v>13260</v>
      </c>
      <c r="B11" s="4" t="inlineStr">
        <is>
          <t>食材</t>
        </is>
      </c>
      <c r="C11" s="4" t="inlineStr">
        <is>
          <t>开店首批食材</t>
        </is>
      </c>
      <c r="E11" s="38" t="inlineStr">
        <is>
          <t>收入分类与占比</t>
        </is>
      </c>
    </row>
    <row r="12">
      <c r="A12" s="30" t="n">
        <v>600</v>
      </c>
      <c r="B12" s="4" t="inlineStr">
        <is>
          <t>推广</t>
        </is>
      </c>
      <c r="C12" s="4" t="inlineStr">
        <is>
          <t>淘宝300+美团300，首充</t>
        </is>
      </c>
      <c r="E12" s="39" t="inlineStr">
        <is>
          <t>渠道</t>
        </is>
      </c>
      <c r="F12" s="39" t="inlineStr">
        <is>
          <t>金额</t>
        </is>
      </c>
      <c r="G12" s="39" t="inlineStr">
        <is>
          <t>占比</t>
        </is>
      </c>
    </row>
    <row r="13">
      <c r="A13" s="30" t="n">
        <v>938</v>
      </c>
      <c r="B13" s="4" t="inlineStr">
        <is>
          <t>食材</t>
        </is>
      </c>
      <c r="C13" s="4" t="inlineStr">
        <is>
          <t>包装盒补货</t>
        </is>
      </c>
      <c r="E13" s="40" t="inlineStr">
        <is>
          <t>淘宝外卖</t>
        </is>
      </c>
      <c r="F13" s="41" t="n">
        <v>19919.1</v>
      </c>
      <c r="G13" s="42" t="n">
        <v>0.4694</v>
      </c>
    </row>
    <row r="14">
      <c r="A14" s="30" t="n">
        <v>1000</v>
      </c>
      <c r="B14" s="4" t="inlineStr">
        <is>
          <t>食材</t>
        </is>
      </c>
      <c r="C14" s="4" t="inlineStr">
        <is>
          <t>快驴充值</t>
        </is>
      </c>
      <c r="E14" s="40" t="inlineStr">
        <is>
          <t>美团外卖</t>
        </is>
      </c>
      <c r="F14" s="41" t="n">
        <v>13970.88</v>
      </c>
      <c r="G14" s="42" t="n">
        <v>0.3292</v>
      </c>
    </row>
    <row r="15">
      <c r="A15" s="30" t="n">
        <v>60.5</v>
      </c>
      <c r="B15" s="4" t="inlineStr">
        <is>
          <t>食材</t>
        </is>
      </c>
      <c r="C15" s="4" t="inlineStr">
        <is>
          <t>火鸡面补货</t>
        </is>
      </c>
      <c r="E15" s="40" t="inlineStr">
        <is>
          <t>微信堂食</t>
        </is>
      </c>
      <c r="F15" s="41" t="n">
        <v>6683.96</v>
      </c>
      <c r="G15" s="42" t="n">
        <v>0.1575</v>
      </c>
    </row>
    <row r="16">
      <c r="A16" s="30" t="n">
        <v>162.41</v>
      </c>
      <c r="B16" s="4" t="inlineStr">
        <is>
          <t>水电</t>
        </is>
      </c>
      <c r="C16" s="4" t="inlineStr">
        <is>
          <t>一月电费</t>
        </is>
      </c>
      <c r="E16" s="40" t="inlineStr">
        <is>
          <t>支付宝堂食</t>
        </is>
      </c>
      <c r="F16" s="41" t="n">
        <v>1861.8</v>
      </c>
      <c r="G16" s="42" t="n">
        <v>0.0439</v>
      </c>
    </row>
    <row r="17">
      <c r="A17" s="30" t="n">
        <v>42.16</v>
      </c>
      <c r="B17" s="4" t="inlineStr">
        <is>
          <t>食材</t>
        </is>
      </c>
      <c r="C17" s="4" t="inlineStr">
        <is>
          <t>包装盒补货</t>
        </is>
      </c>
      <c r="E17" s="40" t="inlineStr">
        <is>
          <t>京东外卖</t>
        </is>
      </c>
      <c r="F17" s="41" t="n">
        <v>0</v>
      </c>
      <c r="G17" s="42" t="n">
        <v>0</v>
      </c>
    </row>
    <row r="18">
      <c r="A18" s="30" t="n">
        <v>1000</v>
      </c>
      <c r="B18" s="4" t="inlineStr">
        <is>
          <t>食材</t>
        </is>
      </c>
      <c r="C18" s="4" t="inlineStr">
        <is>
          <t>快驴充值</t>
        </is>
      </c>
      <c r="E18" s="43" t="inlineStr">
        <is>
          <t>合计</t>
        </is>
      </c>
      <c r="F18" s="44" t="n">
        <v>42435.74</v>
      </c>
      <c r="G18" s="45" t="n">
        <v>1</v>
      </c>
    </row>
    <row r="19">
      <c r="A19" s="31" t="n">
        <v>1300</v>
      </c>
      <c r="B19" s="6" t="inlineStr">
        <is>
          <t>食材</t>
        </is>
      </c>
      <c r="C19" s="6" t="inlineStr">
        <is>
          <t>老池自购食材</t>
        </is>
      </c>
    </row>
    <row r="20" ht="20" customHeight="1">
      <c r="A20" s="31" t="n">
        <v>253.84</v>
      </c>
      <c r="B20" s="6" t="inlineStr">
        <is>
          <t>食材</t>
        </is>
      </c>
      <c r="C20" s="6" t="inlineStr">
        <is>
          <t>火鸡面补货</t>
        </is>
      </c>
      <c r="E20" s="46" t="inlineStr">
        <is>
          <t>支出分类与占比</t>
        </is>
      </c>
    </row>
    <row r="21">
      <c r="A21" s="31" t="n">
        <v>1000</v>
      </c>
      <c r="B21" s="6" t="inlineStr">
        <is>
          <t>食材</t>
        </is>
      </c>
      <c r="C21" s="4" t="inlineStr">
        <is>
          <t>快驴充值</t>
        </is>
      </c>
      <c r="E21" s="39" t="inlineStr">
        <is>
          <t>类别</t>
        </is>
      </c>
      <c r="F21" s="39" t="inlineStr">
        <is>
          <t>金额</t>
        </is>
      </c>
      <c r="G21" s="39" t="inlineStr">
        <is>
          <t>占比</t>
        </is>
      </c>
    </row>
    <row r="22">
      <c r="A22" s="31" t="n">
        <v>355.3</v>
      </c>
      <c r="B22" s="6" t="inlineStr">
        <is>
          <t>食材</t>
        </is>
      </c>
      <c r="C22" s="6" t="inlineStr">
        <is>
          <t>火鸡面补货</t>
        </is>
      </c>
      <c r="E22" s="40" t="inlineStr">
        <is>
          <t>食材</t>
        </is>
      </c>
      <c r="F22" s="41" t="n">
        <v>23883.8</v>
      </c>
      <c r="G22" s="42" t="n">
        <v>0.6367</v>
      </c>
    </row>
    <row r="23">
      <c r="A23" s="31" t="n">
        <v>3000</v>
      </c>
      <c r="B23" s="6" t="inlineStr">
        <is>
          <t>食材</t>
        </is>
      </c>
      <c r="C23" s="6" t="inlineStr">
        <is>
          <t>主食材补货</t>
        </is>
      </c>
      <c r="E23" s="40" t="inlineStr">
        <is>
          <t>工资</t>
        </is>
      </c>
      <c r="F23" s="41" t="n">
        <v>8500</v>
      </c>
      <c r="G23" s="42" t="n">
        <v>0.2266</v>
      </c>
    </row>
    <row r="24">
      <c r="A24" s="31" t="n">
        <v>174</v>
      </c>
      <c r="B24" s="6" t="inlineStr">
        <is>
          <t>食材</t>
        </is>
      </c>
      <c r="C24" s="6" t="inlineStr">
        <is>
          <t>火鸡面补货</t>
        </is>
      </c>
      <c r="E24" s="40" t="inlineStr">
        <is>
          <t>房租</t>
        </is>
      </c>
      <c r="F24" s="41" t="n">
        <v>4333</v>
      </c>
      <c r="G24" s="42" t="n">
        <v>0.1155</v>
      </c>
    </row>
    <row r="25">
      <c r="A25" s="31" t="n">
        <v>33.6</v>
      </c>
      <c r="B25" s="6" t="inlineStr">
        <is>
          <t>其他</t>
        </is>
      </c>
      <c r="C25" s="6" t="inlineStr">
        <is>
          <t>硅胶防烫套</t>
        </is>
      </c>
      <c r="E25" s="40" t="inlineStr">
        <is>
          <t>推广</t>
        </is>
      </c>
      <c r="F25" s="41" t="n">
        <v>600</v>
      </c>
      <c r="G25" s="42" t="n">
        <v>0.016</v>
      </c>
    </row>
    <row r="26">
      <c r="A26" s="31" t="n">
        <v>500</v>
      </c>
      <c r="B26" s="6" t="inlineStr">
        <is>
          <t>食材</t>
        </is>
      </c>
      <c r="C26" s="6" t="inlineStr">
        <is>
          <t>快驴充值</t>
        </is>
      </c>
      <c r="E26" s="40" t="inlineStr">
        <is>
          <t>水电</t>
        </is>
      </c>
      <c r="F26" s="41" t="n">
        <v>162.41</v>
      </c>
      <c r="G26" s="42" t="n">
        <v>0.0043</v>
      </c>
    </row>
    <row r="27">
      <c r="A27" s="12" t="n"/>
      <c r="B27" s="26" t="n"/>
      <c r="C27" s="4" t="n"/>
      <c r="E27" s="40" t="inlineStr">
        <is>
          <t>其他</t>
        </is>
      </c>
      <c r="F27" s="41" t="n">
        <v>33.6</v>
      </c>
      <c r="G27" s="42" t="n">
        <v>0.0009</v>
      </c>
    </row>
    <row r="28">
      <c r="A28" s="12" t="n"/>
      <c r="B28" s="26" t="n"/>
      <c r="C28" s="4" t="n"/>
      <c r="E28" s="47" t="inlineStr">
        <is>
          <t>合计</t>
        </is>
      </c>
      <c r="F28" s="48" t="n">
        <v>37512.81</v>
      </c>
      <c r="G28" s="49" t="n">
        <v>1</v>
      </c>
    </row>
    <row r="29">
      <c r="A29" s="12" t="n"/>
      <c r="B29" s="26" t="n"/>
      <c r="C29" s="4" t="n"/>
    </row>
    <row r="30">
      <c r="A30" s="12" t="inlineStr">
        <is>
          <t>收入明细</t>
        </is>
      </c>
      <c r="B30" s="26" t="inlineStr">
        <is>
          <t>分类</t>
        </is>
      </c>
      <c r="C30" s="4" t="inlineStr">
        <is>
          <t>说明</t>
        </is>
      </c>
    </row>
    <row r="31">
      <c r="A31" s="50" t="n">
        <v>6683.96</v>
      </c>
      <c r="B31" s="26" t="inlineStr">
        <is>
          <t>微信堂食</t>
        </is>
      </c>
      <c r="C31" s="4" t="n"/>
    </row>
    <row r="32">
      <c r="A32" s="50" t="n">
        <v>1861.8</v>
      </c>
      <c r="B32" s="26" t="inlineStr">
        <is>
          <t>支付宝堂食</t>
        </is>
      </c>
      <c r="C32" s="4" t="n"/>
    </row>
    <row r="33">
      <c r="A33" s="50" t="n">
        <v>0</v>
      </c>
      <c r="B33" s="26" t="inlineStr">
        <is>
          <t>京东外卖</t>
        </is>
      </c>
      <c r="C33" s="4" t="n"/>
    </row>
    <row r="34">
      <c r="A34" s="50" t="n">
        <v>19919.1</v>
      </c>
      <c r="B34" s="26" t="inlineStr">
        <is>
          <t>淘宝外卖</t>
        </is>
      </c>
      <c r="C34" s="4" t="n"/>
    </row>
    <row r="35">
      <c r="A35" s="50" t="n">
        <v>13970.88</v>
      </c>
      <c r="B35" s="26" t="inlineStr">
        <is>
          <t>美团外卖</t>
        </is>
      </c>
      <c r="C35" s="4" t="n"/>
    </row>
    <row r="36"/>
    <row r="37"/>
    <row r="38">
      <c r="A38" s="12" t="n"/>
      <c r="B38" s="32" t="n"/>
      <c r="C38" s="9" t="n"/>
    </row>
    <row r="39">
      <c r="A39" s="12" t="n"/>
      <c r="B39" s="32" t="n"/>
      <c r="C39" s="10" t="n"/>
    </row>
    <row r="40">
      <c r="A40" s="12" t="n"/>
      <c r="C40" s="10" t="n"/>
    </row>
    <row r="41">
      <c r="A41" s="16" t="inlineStr">
        <is>
          <t>【2026年2月 财务分析】</t>
        </is>
      </c>
    </row>
    <row r="42">
      <c r="A42" s="17" t="inlineStr">
        <is>
          <t>指标</t>
        </is>
      </c>
      <c r="B42" s="17" t="inlineStr">
        <is>
          <t>金额 (元)</t>
        </is>
      </c>
    </row>
    <row r="43">
      <c r="A43" s="18" t="inlineStr">
        <is>
          <t>总收入</t>
        </is>
      </c>
      <c r="B43" s="19" t="n">
        <v>42435.74</v>
      </c>
    </row>
    <row r="44">
      <c r="A44" s="18" t="inlineStr">
        <is>
          <t>食材成本</t>
        </is>
      </c>
      <c r="B44" s="19" t="n">
        <v>23883.8</v>
      </c>
    </row>
    <row r="45">
      <c r="A45" s="18" t="inlineStr">
        <is>
          <t>其他支出</t>
        </is>
      </c>
      <c r="B45" s="19" t="n">
        <v>13629.01</v>
      </c>
    </row>
    <row r="46">
      <c r="A46" s="18" t="inlineStr">
        <is>
          <t>总支出</t>
        </is>
      </c>
      <c r="B46" s="19" t="n">
        <v>37512.81</v>
      </c>
    </row>
    <row r="47">
      <c r="A47" s="18" t="inlineStr">
        <is>
          <t>毛利润</t>
        </is>
      </c>
      <c r="B47" s="19" t="n">
        <v>18551.94</v>
      </c>
    </row>
    <row r="48">
      <c r="A48" s="18" t="inlineStr">
        <is>
          <t>净利润</t>
        </is>
      </c>
      <c r="B48" s="19" t="n">
        <v>4922.93</v>
      </c>
    </row>
    <row r="49"/>
    <row r="50">
      <c r="A50" s="20" t="n"/>
    </row>
    <row r="51">
      <c r="A51" s="20" t="n"/>
    </row>
    <row r="52">
      <c r="A52" s="16" t="inlineStr">
        <is>
          <t>【利润率指标】</t>
        </is>
      </c>
    </row>
    <row r="53">
      <c r="A53" s="17" t="inlineStr">
        <is>
          <t>指标</t>
        </is>
      </c>
      <c r="B53" s="21" t="inlineStr">
        <is>
          <t>数值</t>
        </is>
      </c>
    </row>
    <row r="54">
      <c r="A54" s="18" t="inlineStr">
        <is>
          <t>毛利率</t>
        </is>
      </c>
      <c r="B54" s="22" t="n">
        <v>0.4372</v>
      </c>
    </row>
    <row r="55">
      <c r="A55" s="18" t="inlineStr">
        <is>
          <t>净利率</t>
        </is>
      </c>
      <c r="B55" s="22" t="n">
        <v>0.116</v>
      </c>
    </row>
    <row r="56">
      <c r="A56" s="18" t="inlineStr">
        <is>
          <t>日均收入</t>
        </is>
      </c>
      <c r="B56" s="19" t="n">
        <v>1515.56</v>
      </c>
    </row>
    <row r="57">
      <c r="A57" s="18" t="inlineStr">
        <is>
          <t>日均毛利润</t>
        </is>
      </c>
      <c r="B57" s="19" t="n">
        <v>662.5700000000001</v>
      </c>
    </row>
    <row r="58">
      <c r="A58" s="18" t="inlineStr">
        <is>
          <t>日均净利润</t>
        </is>
      </c>
      <c r="B58" s="19" t="n">
        <v>175.82</v>
      </c>
    </row>
    <row r="59"/>
    <row r="60"/>
    <row r="61">
      <c r="A61" s="20" t="n"/>
    </row>
    <row r="62">
      <c r="A62" s="16" t="inlineStr">
        <is>
          <t>【支出分类与占比】</t>
        </is>
      </c>
    </row>
    <row r="63">
      <c r="A63" s="17" t="inlineStr">
        <is>
          <t>支出项目</t>
        </is>
      </c>
      <c r="B63" s="17" t="inlineStr">
        <is>
          <t>金额 (元)</t>
        </is>
      </c>
      <c r="C63" s="17" t="inlineStr">
        <is>
          <t>占比</t>
        </is>
      </c>
    </row>
    <row r="64">
      <c r="A64" s="18" t="inlineStr">
        <is>
          <t>食材</t>
        </is>
      </c>
      <c r="B64" s="19" t="n">
        <v>23883.8</v>
      </c>
      <c r="C64" s="22" t="n">
        <v>0.6367</v>
      </c>
    </row>
    <row r="65">
      <c r="A65" s="18" t="inlineStr">
        <is>
          <t>工资</t>
        </is>
      </c>
      <c r="B65" s="19" t="n">
        <v>8500</v>
      </c>
      <c r="C65" s="22" t="n">
        <v>0.2266</v>
      </c>
    </row>
    <row r="66">
      <c r="A66" s="18" t="inlineStr">
        <is>
          <t>房租</t>
        </is>
      </c>
      <c r="B66" s="19" t="n">
        <v>4333</v>
      </c>
      <c r="C66" s="22" t="n">
        <v>0.1155</v>
      </c>
    </row>
    <row r="67">
      <c r="A67" s="18" t="inlineStr">
        <is>
          <t>推广</t>
        </is>
      </c>
      <c r="B67" s="19" t="n">
        <v>600</v>
      </c>
      <c r="C67" s="22" t="n">
        <v>0.016</v>
      </c>
    </row>
    <row r="68">
      <c r="A68" s="18" t="inlineStr">
        <is>
          <t>水电</t>
        </is>
      </c>
      <c r="B68" s="19" t="n">
        <v>162.41</v>
      </c>
      <c r="C68" s="22" t="n">
        <v>0.0043</v>
      </c>
    </row>
    <row r="69">
      <c r="A69" s="18" t="inlineStr">
        <is>
          <t>其他</t>
        </is>
      </c>
      <c r="B69" s="19" t="n">
        <v>33.6</v>
      </c>
      <c r="C69" s="22" t="n">
        <v>0.0009</v>
      </c>
    </row>
    <row r="70">
      <c r="A70" s="23" t="inlineStr">
        <is>
          <t>合计</t>
        </is>
      </c>
      <c r="B70" s="24" t="n">
        <v>37512.81</v>
      </c>
      <c r="C70" s="25" t="n">
        <v>1</v>
      </c>
    </row>
    <row r="72">
      <c r="A72" s="20" t="n"/>
    </row>
    <row r="73">
      <c r="A73" s="20" t="n"/>
    </row>
    <row r="74">
      <c r="A74" s="16" t="inlineStr">
        <is>
          <t>【收入分类与占比】</t>
        </is>
      </c>
      <c r="B74" s="26" t="n"/>
      <c r="C74" s="26" t="n"/>
    </row>
    <row r="75">
      <c r="A75" s="17" t="inlineStr">
        <is>
          <t>收入渠道</t>
        </is>
      </c>
      <c r="B75" s="17" t="inlineStr">
        <is>
          <t>金额 (元)</t>
        </is>
      </c>
      <c r="C75" s="17" t="inlineStr">
        <is>
          <t>占比</t>
        </is>
      </c>
    </row>
    <row r="76">
      <c r="A76" s="18" t="inlineStr">
        <is>
          <t>淘宝外卖</t>
        </is>
      </c>
      <c r="B76" s="19" t="n">
        <v>19919.1</v>
      </c>
      <c r="C76" s="22" t="n">
        <v>0.4694</v>
      </c>
    </row>
    <row r="77">
      <c r="A77" s="18" t="inlineStr">
        <is>
          <t>美团外卖</t>
        </is>
      </c>
      <c r="B77" s="19" t="n">
        <v>13970.88</v>
      </c>
      <c r="C77" s="22" t="n">
        <v>0.3292</v>
      </c>
    </row>
    <row r="78">
      <c r="A78" s="18" t="inlineStr">
        <is>
          <t>微信堂食</t>
        </is>
      </c>
      <c r="B78" s="19" t="n">
        <v>6683.96</v>
      </c>
      <c r="C78" s="22" t="n">
        <v>0.1575</v>
      </c>
    </row>
    <row r="79">
      <c r="A79" s="18" t="inlineStr">
        <is>
          <t>支付宝堂食</t>
        </is>
      </c>
      <c r="B79" s="19" t="n">
        <v>1861.8</v>
      </c>
      <c r="C79" s="22" t="n">
        <v>0.0439</v>
      </c>
    </row>
    <row r="80">
      <c r="A80" s="18" t="inlineStr">
        <is>
          <t>京东外卖</t>
        </is>
      </c>
      <c r="B80" s="19" t="n">
        <v>0</v>
      </c>
      <c r="C80" s="22" t="n">
        <v>0</v>
      </c>
    </row>
    <row r="81">
      <c r="A81" s="23" t="inlineStr">
        <is>
          <t>合计</t>
        </is>
      </c>
      <c r="B81" s="24" t="n">
        <v>42435.74</v>
      </c>
      <c r="C81" s="25" t="n">
        <v>1</v>
      </c>
    </row>
  </sheetData>
  <mergeCells count="6">
    <mergeCell ref="E2:G2"/>
    <mergeCell ref="A52:B52"/>
    <mergeCell ref="E11:G11"/>
    <mergeCell ref="A41:B41"/>
    <mergeCell ref="A62:C62"/>
    <mergeCell ref="E20:G20"/>
  </mergeCells>
  <dataValidations count="2">
    <dataValidation sqref="B22:B26" showDropDown="0" showInputMessage="1" showErrorMessage="1" allowBlank="1" type="list">
      <formula1>"房租,装修,其他,设备,食材,推广,水电"</formula1>
    </dataValidation>
    <dataValidation sqref="B8:B21" showDropDown="0" showInputMessage="1" showErrorMessage="1" allowBlank="1" type="list">
      <formula1>"房租,其他,食材,推广,水电,工资"</formula1>
    </dataValidation>
  </dataValidations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/>
    <pageSetUpPr/>
  </sheetPr>
  <dimension ref="A1:C85"/>
  <sheetViews>
    <sheetView topLeftCell="A68" workbookViewId="0">
      <selection activeCell="C11" sqref="C11"/>
    </sheetView>
  </sheetViews>
  <sheetFormatPr baseColWidth="8" defaultColWidth="9" defaultRowHeight="15" customHeight="1"/>
  <cols>
    <col width="21.125" customWidth="1" min="1" max="1"/>
    <col width="24.3557692307692" customWidth="1" min="2" max="2"/>
    <col width="108.173076923077" customWidth="1" min="3" max="3"/>
  </cols>
  <sheetData>
    <row r="1">
      <c r="A1" s="12" t="inlineStr">
        <is>
          <t>支出合计</t>
        </is>
      </c>
      <c r="B1" s="32">
        <f>SUM(支出明细2603[支出明细])</f>
        <v/>
      </c>
    </row>
    <row r="2">
      <c r="A2" s="12" t="inlineStr">
        <is>
          <t>收入合计</t>
        </is>
      </c>
      <c r="B2" s="32">
        <f>SUM(收入明细2603[收入明细])</f>
        <v/>
      </c>
    </row>
    <row r="3">
      <c r="A3" s="12" t="inlineStr">
        <is>
          <t>净利润</t>
        </is>
      </c>
      <c r="B3" s="51">
        <f>B2-B1</f>
        <v/>
      </c>
    </row>
    <row r="6">
      <c r="A6" s="30" t="inlineStr">
        <is>
          <t>支出明细</t>
        </is>
      </c>
      <c r="B6" s="4" t="inlineStr">
        <is>
          <t>分类</t>
        </is>
      </c>
      <c r="C6" s="4" t="inlineStr">
        <is>
          <t>说明</t>
        </is>
      </c>
    </row>
    <row r="7">
      <c r="A7" s="52" t="n">
        <v>4333</v>
      </c>
      <c r="B7" s="4" t="inlineStr">
        <is>
          <t>房租</t>
        </is>
      </c>
      <c r="C7" s="4" t="inlineStr">
        <is>
          <t>月租金</t>
        </is>
      </c>
    </row>
    <row r="8">
      <c r="A8" s="52" t="n">
        <v>15000</v>
      </c>
      <c r="B8" s="4" t="inlineStr">
        <is>
          <t>工资</t>
        </is>
      </c>
      <c r="C8" s="4" t="inlineStr">
        <is>
          <t>暂未支付</t>
        </is>
      </c>
    </row>
    <row r="9">
      <c r="A9" s="52" t="n">
        <v>3000</v>
      </c>
      <c r="B9" s="4" t="inlineStr">
        <is>
          <t>水电</t>
        </is>
      </c>
      <c r="C9" s="4" t="inlineStr">
        <is>
          <t>暂未支付</t>
        </is>
      </c>
    </row>
    <row r="10">
      <c r="A10" s="52" t="n">
        <v>4140</v>
      </c>
      <c r="B10" s="4" t="inlineStr">
        <is>
          <t>食材</t>
        </is>
      </c>
      <c r="C10" s="4" t="inlineStr">
        <is>
          <t>芋头小笼120斤*12，肉燕120斤*22.5，菜探长进货</t>
        </is>
      </c>
    </row>
    <row r="11">
      <c r="A11" s="52" t="n">
        <v>7866</v>
      </c>
      <c r="B11" s="6" t="inlineStr">
        <is>
          <t>食材</t>
        </is>
      </c>
      <c r="C11" s="6" t="inlineStr">
        <is>
          <t>肉片300斤*8，高级肉片199斤*9，香菇小笼100斤*11，肉燕100斤*18，鸡翅320，运费455，硕美进货</t>
        </is>
      </c>
    </row>
    <row r="12">
      <c r="A12" s="52" t="n">
        <v>28.64</v>
      </c>
      <c r="B12" s="6" t="inlineStr">
        <is>
          <t>其他</t>
        </is>
      </c>
      <c r="C12" s="6" t="inlineStr">
        <is>
          <t>PE食品保鲜袋</t>
        </is>
      </c>
    </row>
    <row r="13">
      <c r="A13" s="52" t="n">
        <v>44.48</v>
      </c>
      <c r="B13" s="6" t="inlineStr">
        <is>
          <t>食材</t>
        </is>
      </c>
      <c r="C13" s="6" t="inlineStr">
        <is>
          <t>火鸡面补货</t>
        </is>
      </c>
    </row>
    <row r="14">
      <c r="A14" s="52" t="n">
        <v>3000</v>
      </c>
      <c r="B14" s="6" t="inlineStr">
        <is>
          <t>食材</t>
        </is>
      </c>
      <c r="C14" s="6" t="inlineStr">
        <is>
          <t>快驴充值</t>
        </is>
      </c>
    </row>
    <row r="15">
      <c r="A15" s="52" t="n">
        <v>23</v>
      </c>
      <c r="B15" s="6" t="inlineStr">
        <is>
          <t>食材</t>
        </is>
      </c>
      <c r="C15" s="6" t="inlineStr">
        <is>
          <t>食材调味粉</t>
        </is>
      </c>
    </row>
    <row r="16">
      <c r="A16" s="52" t="n">
        <v>468</v>
      </c>
      <c r="B16" s="6" t="inlineStr">
        <is>
          <t>食材</t>
        </is>
      </c>
      <c r="C16" s="6" t="inlineStr">
        <is>
          <t>1280圆打包盒900个，0.52/个</t>
        </is>
      </c>
    </row>
    <row r="17">
      <c r="A17" s="52" t="n">
        <v>385</v>
      </c>
      <c r="B17" s="6" t="inlineStr">
        <is>
          <t>食材</t>
        </is>
      </c>
      <c r="C17" s="6" t="inlineStr">
        <is>
          <t>1000圆打包盒1000个，0.385/个</t>
        </is>
      </c>
    </row>
    <row r="18" customFormat="1" s="11">
      <c r="A18" s="52" t="n">
        <v>295</v>
      </c>
      <c r="B18" s="6" t="inlineStr">
        <is>
          <t>食材</t>
        </is>
      </c>
      <c r="C18" s="6" t="inlineStr">
        <is>
          <t>鸡翅10斤</t>
        </is>
      </c>
    </row>
    <row r="19" customFormat="1" s="11">
      <c r="A19" s="52" t="n">
        <v>718</v>
      </c>
      <c r="B19" s="6" t="inlineStr">
        <is>
          <t>食材</t>
        </is>
      </c>
      <c r="C19" s="6" t="inlineStr">
        <is>
          <t>普福店调货补给老李（此处被老李算错账）</t>
        </is>
      </c>
    </row>
    <row r="20" customFormat="1" s="11">
      <c r="A20" s="52" t="n">
        <v>57.6</v>
      </c>
      <c r="B20" s="6" t="inlineStr">
        <is>
          <t>食材</t>
        </is>
      </c>
      <c r="C20" s="6" t="inlineStr">
        <is>
          <t>外卖盒子临时补货</t>
        </is>
      </c>
    </row>
    <row r="21">
      <c r="A21" s="52" t="n">
        <v>302.5</v>
      </c>
      <c r="B21" s="6" t="inlineStr">
        <is>
          <t>食材</t>
        </is>
      </c>
      <c r="C21" s="6" t="inlineStr">
        <is>
          <t>火鸡面拼多多补货5箱共150袋</t>
        </is>
      </c>
    </row>
    <row r="22">
      <c r="A22" s="52" t="n">
        <v>400</v>
      </c>
      <c r="B22" s="6" t="inlineStr">
        <is>
          <t>推广</t>
        </is>
      </c>
      <c r="C22" s="6" t="inlineStr">
        <is>
          <t>美团外卖推广</t>
        </is>
      </c>
    </row>
    <row r="23">
      <c r="A23" s="53" t="n">
        <v>225</v>
      </c>
      <c r="B23" s="6" t="inlineStr">
        <is>
          <t>食材</t>
        </is>
      </c>
      <c r="C23" s="6" t="inlineStr">
        <is>
          <t>750圆打包盒600个，0.375/个</t>
        </is>
      </c>
    </row>
    <row r="24">
      <c r="A24" s="53" t="n">
        <v>350</v>
      </c>
      <c r="B24" s="6" t="inlineStr">
        <is>
          <t>食材</t>
        </is>
      </c>
      <c r="C24" s="6" t="inlineStr">
        <is>
          <t>一次性餐具(筷子+勺子)，70元/500个，0.14/个</t>
        </is>
      </c>
    </row>
    <row r="25">
      <c r="A25" s="53" t="n">
        <v>112</v>
      </c>
      <c r="B25" s="6" t="inlineStr">
        <is>
          <t>食材</t>
        </is>
      </c>
      <c r="C25" s="6" t="inlineStr">
        <is>
          <t>一次性筷子</t>
        </is>
      </c>
    </row>
    <row r="26">
      <c r="A26" s="53" t="n">
        <v>198</v>
      </c>
      <c r="B26" s="6" t="inlineStr">
        <is>
          <t>食材</t>
        </is>
      </c>
      <c r="C26" s="6" t="inlineStr">
        <is>
          <t>福州鱼丸20包/198</t>
        </is>
      </c>
    </row>
    <row r="27">
      <c r="A27" s="53" t="n">
        <v>100</v>
      </c>
      <c r="B27" s="6" t="inlineStr">
        <is>
          <t>推广</t>
        </is>
      </c>
      <c r="C27" s="6" t="inlineStr">
        <is>
          <t>京东外卖刷单</t>
        </is>
      </c>
    </row>
    <row r="28">
      <c r="A28" s="53" t="n">
        <v>362</v>
      </c>
      <c r="B28" s="6" t="inlineStr">
        <is>
          <t>食材</t>
        </is>
      </c>
      <c r="C28" s="6" t="inlineStr">
        <is>
          <t>硕美牛肉丸样品20斤，17一斤+22运费</t>
        </is>
      </c>
    </row>
    <row r="29">
      <c r="A29" s="53" t="n">
        <v>300</v>
      </c>
      <c r="B29" s="6" t="inlineStr">
        <is>
          <t>推广</t>
        </is>
      </c>
      <c r="C29" s="6" t="inlineStr">
        <is>
          <t>京东外卖推广</t>
        </is>
      </c>
    </row>
    <row r="30">
      <c r="A30" s="53" t="n">
        <v>128</v>
      </c>
      <c r="B30" s="6" t="inlineStr">
        <is>
          <t>食材</t>
        </is>
      </c>
      <c r="C30" s="6" t="inlineStr">
        <is>
          <t>一次性塑料袋和一次性勺子，塑料袋1分钱/个，勺子8分钱/个</t>
        </is>
      </c>
    </row>
    <row r="31">
      <c r="A31" s="53" t="n">
        <v>304.63</v>
      </c>
      <c r="B31" s="6" t="inlineStr">
        <is>
          <t>食材</t>
        </is>
      </c>
      <c r="C31" s="6" t="inlineStr">
        <is>
          <t>火鸡面拼多多补货5箱共150袋</t>
        </is>
      </c>
    </row>
    <row r="32">
      <c r="A32" s="53" t="n">
        <v>4355.5</v>
      </c>
      <c r="B32" s="6" t="inlineStr">
        <is>
          <t>食材</t>
        </is>
      </c>
      <c r="C32" s="6" t="inlineStr">
        <is>
          <t>300斤肉片2400+100斤牛肉羹1700+运费255.5 = 4355.5</t>
        </is>
      </c>
    </row>
    <row r="33">
      <c r="A33" s="53" t="n">
        <v>-180</v>
      </c>
      <c r="B33" s="6" t="inlineStr">
        <is>
          <t>食材</t>
        </is>
      </c>
      <c r="C33" s="6" t="inlineStr">
        <is>
          <t>老李9元/斤买走20斤上述肉片</t>
        </is>
      </c>
    </row>
    <row r="34">
      <c r="A34" s="53" t="n">
        <v>350</v>
      </c>
      <c r="B34" s="6" t="inlineStr">
        <is>
          <t>食材</t>
        </is>
      </c>
      <c r="C34" s="6" t="inlineStr">
        <is>
          <t>弹粉进货，4.5/斤，运费0.5/斤</t>
        </is>
      </c>
    </row>
    <row r="35">
      <c r="A35" s="53" t="n">
        <v>224</v>
      </c>
      <c r="B35" s="6" t="inlineStr">
        <is>
          <t>食材</t>
        </is>
      </c>
      <c r="C35" s="6" t="inlineStr">
        <is>
          <t>300圆碗四箱</t>
        </is>
      </c>
    </row>
    <row r="36">
      <c r="A36" s="53" t="n">
        <v>177</v>
      </c>
      <c r="B36" s="6" t="inlineStr">
        <is>
          <t>食材</t>
        </is>
      </c>
      <c r="C36" s="6" t="inlineStr">
        <is>
          <t>450圆碗三箱</t>
        </is>
      </c>
    </row>
    <row r="37">
      <c r="A37" s="53" t="n">
        <v>112.2</v>
      </c>
      <c r="B37" s="6" t="inlineStr">
        <is>
          <t>食材</t>
        </is>
      </c>
      <c r="C37" s="6" t="inlineStr">
        <is>
          <t>50包火鸡面</t>
        </is>
      </c>
    </row>
    <row r="38">
      <c r="A38" s="53" t="n">
        <v>-896</v>
      </c>
      <c r="B38" s="6" t="inlineStr">
        <is>
          <t>食材</t>
        </is>
      </c>
      <c r="C38" s="6" t="inlineStr">
        <is>
          <t>老李买走100斤肉片</t>
        </is>
      </c>
    </row>
    <row r="39">
      <c r="A39" s="53" t="n">
        <v>1188</v>
      </c>
      <c r="B39" s="6" t="inlineStr">
        <is>
          <t>食材</t>
        </is>
      </c>
      <c r="C39" s="6" t="inlineStr">
        <is>
          <t>老池垫付的牛肉丸+鱼丸钱</t>
        </is>
      </c>
    </row>
    <row r="40">
      <c r="A40" s="53" t="n">
        <v>2500</v>
      </c>
      <c r="B40" s="6" t="inlineStr">
        <is>
          <t>食材</t>
        </is>
      </c>
      <c r="C40" s="6" t="inlineStr">
        <is>
          <t>硕美8元肉片补货300斤+100运费</t>
        </is>
      </c>
    </row>
    <row r="41">
      <c r="A41" s="53" t="n">
        <v>299</v>
      </c>
      <c r="B41" s="6" t="inlineStr">
        <is>
          <t>其他</t>
        </is>
      </c>
      <c r="C41" s="6" t="inlineStr">
        <is>
          <t>淘宝出餐机签约，299支持返现+免佣300，需要关注</t>
        </is>
      </c>
    </row>
    <row r="42">
      <c r="A42" s="53" t="n">
        <v>-433</v>
      </c>
      <c r="B42" s="6" t="inlineStr">
        <is>
          <t>食材</t>
        </is>
      </c>
      <c r="C42" s="6" t="inlineStr">
        <is>
          <t>老李买走50斤肉片</t>
        </is>
      </c>
    </row>
    <row r="43">
      <c r="A43" s="53" t="n">
        <v>50</v>
      </c>
      <c r="B43" s="6" t="inlineStr">
        <is>
          <t>推广</t>
        </is>
      </c>
      <c r="C43" s="6" t="inlineStr">
        <is>
          <t>淘宝推广</t>
        </is>
      </c>
    </row>
    <row r="44">
      <c r="A44" s="53" t="n">
        <v>601.92</v>
      </c>
      <c r="B44" s="6" t="inlineStr">
        <is>
          <t>食材</t>
        </is>
      </c>
      <c r="C44" s="6" t="inlineStr">
        <is>
          <t>火鸡面10箱</t>
        </is>
      </c>
    </row>
    <row r="45">
      <c r="A45" s="53" t="n">
        <v>390</v>
      </c>
      <c r="B45" s="6" t="inlineStr">
        <is>
          <t>食材</t>
        </is>
      </c>
      <c r="C45" s="6" t="inlineStr">
        <is>
          <t>1280打包盒</t>
        </is>
      </c>
    </row>
    <row r="46">
      <c r="A46" s="53" t="n">
        <v>300</v>
      </c>
      <c r="B46" s="6" t="inlineStr">
        <is>
          <t>水电</t>
        </is>
      </c>
      <c r="C46" s="6" t="inlineStr">
        <is>
          <t>电话费300</t>
        </is>
      </c>
    </row>
    <row r="47">
      <c r="A47" s="53" t="n">
        <v>125.1</v>
      </c>
      <c r="B47" s="6" t="inlineStr">
        <is>
          <t>食材</t>
        </is>
      </c>
      <c r="C47" s="6" t="inlineStr">
        <is>
          <t>火鸡面临时补货</t>
        </is>
      </c>
    </row>
    <row r="48">
      <c r="A48" s="53" t="n">
        <v>170</v>
      </c>
      <c r="B48" s="6" t="inlineStr">
        <is>
          <t>食材</t>
        </is>
      </c>
      <c r="C48" s="6" t="inlineStr">
        <is>
          <t>750打包盒600个</t>
        </is>
      </c>
    </row>
    <row r="49">
      <c r="A49" s="53" t="n">
        <v>1486.65</v>
      </c>
      <c r="B49" s="6" t="inlineStr">
        <is>
          <t>其他</t>
        </is>
      </c>
      <c r="C49" s="6" t="inlineStr">
        <is>
          <t>小米空调(需要算到开店成本里比较合理)</t>
        </is>
      </c>
    </row>
    <row r="50">
      <c r="A50" s="53" t="n">
        <v>198</v>
      </c>
      <c r="B50" s="6" t="inlineStr">
        <is>
          <t>食材</t>
        </is>
      </c>
      <c r="C50" s="6" t="inlineStr">
        <is>
          <t>福州鱼丸20包/198</t>
        </is>
      </c>
    </row>
    <row r="51">
      <c r="A51" s="53" t="n">
        <v>308</v>
      </c>
      <c r="B51" s="6" t="inlineStr">
        <is>
          <t>食材</t>
        </is>
      </c>
      <c r="C51" s="6" t="inlineStr">
        <is>
          <t>1000圆碗800个/308元</t>
        </is>
      </c>
    </row>
    <row r="52">
      <c r="A52" s="53" t="n">
        <v>7560</v>
      </c>
      <c r="B52" s="6" t="inlineStr">
        <is>
          <t>食材</t>
        </is>
      </c>
      <c r="C52" s="6" t="inlineStr">
        <is>
          <t>硕美进货，肉片500斤4000，小笼包100斤1100，肉燕100斤1800，鸡翅100个300，鸭爪100个130，运费230</t>
        </is>
      </c>
    </row>
    <row r="53">
      <c r="A53" s="53" t="n">
        <v>500</v>
      </c>
      <c r="B53" s="6" t="inlineStr">
        <is>
          <t>食材</t>
        </is>
      </c>
      <c r="C53" s="6" t="inlineStr">
        <is>
          <t>快驴充值</t>
        </is>
      </c>
    </row>
    <row r="54">
      <c r="A54" s="53" t="n">
        <v>195</v>
      </c>
      <c r="B54" s="6" t="inlineStr">
        <is>
          <t>食材</t>
        </is>
      </c>
      <c r="C54" s="6" t="inlineStr">
        <is>
          <t>菜探长进货的调味粉+运费</t>
        </is>
      </c>
    </row>
    <row r="55">
      <c r="A55" s="53" t="n">
        <v>33.9</v>
      </c>
      <c r="B55" s="6" t="inlineStr">
        <is>
          <t>其他</t>
        </is>
      </c>
      <c r="C55" s="6" t="inlineStr">
        <is>
          <t>灭蚊灯</t>
        </is>
      </c>
    </row>
    <row r="56">
      <c r="A56" s="53" t="n">
        <v>1410</v>
      </c>
      <c r="B56" s="6" t="inlineStr">
        <is>
          <t>食材</t>
        </is>
      </c>
      <c r="C56" s="6" t="inlineStr">
        <is>
          <t>菜探长肉筋进货1380+30运费</t>
        </is>
      </c>
    </row>
    <row r="57">
      <c r="A57" s="53" t="n">
        <v>81.65000000000001</v>
      </c>
      <c r="B57" s="6" t="inlineStr">
        <is>
          <t>其他</t>
        </is>
      </c>
      <c r="C57" s="6" t="inlineStr">
        <is>
          <t>给老家寄肉筋快递费43.65+插线板38</t>
        </is>
      </c>
    </row>
    <row r="58">
      <c r="A58" s="53" t="n">
        <v>551.92</v>
      </c>
      <c r="B58" s="6" t="inlineStr">
        <is>
          <t>食材</t>
        </is>
      </c>
      <c r="C58" s="6" t="inlineStr">
        <is>
          <t>火鸡面补货</t>
        </is>
      </c>
    </row>
    <row r="59">
      <c r="A59" s="53" t="n">
        <v>246</v>
      </c>
      <c r="B59" s="6" t="inlineStr">
        <is>
          <t>食材</t>
        </is>
      </c>
      <c r="C59" s="6" t="inlineStr">
        <is>
          <t>1000打包盒600分</t>
        </is>
      </c>
    </row>
    <row r="60">
      <c r="A60" s="53" t="n">
        <v>244.6</v>
      </c>
      <c r="B60" s="6" t="inlineStr">
        <is>
          <t>食材</t>
        </is>
      </c>
      <c r="C60" s="6" t="inlineStr">
        <is>
          <t>火鸡面临时补货46.6+福州鱼丸198</t>
        </is>
      </c>
    </row>
    <row r="61">
      <c r="A61" s="53" t="n">
        <v>500</v>
      </c>
      <c r="B61" s="6" t="inlineStr">
        <is>
          <t>食材</t>
        </is>
      </c>
      <c r="C61" s="6" t="inlineStr">
        <is>
          <t>快驴充值</t>
        </is>
      </c>
    </row>
    <row r="62">
      <c r="A62" s="53" t="n">
        <v>480</v>
      </c>
      <c r="B62" s="6" t="inlineStr">
        <is>
          <t>食材</t>
        </is>
      </c>
      <c r="C62" s="6" t="inlineStr">
        <is>
          <t>黄辣椒+溜溜 480</t>
        </is>
      </c>
    </row>
    <row r="63">
      <c r="A63" s="53" t="n">
        <v>120</v>
      </c>
      <c r="B63" s="6" t="inlineStr">
        <is>
          <t>食材</t>
        </is>
      </c>
      <c r="C63" s="6" t="inlineStr">
        <is>
          <t>白琳肉筋样品</t>
        </is>
      </c>
    </row>
    <row r="64">
      <c r="A64" s="53" t="n">
        <v>2555</v>
      </c>
      <c r="B64" s="6" t="inlineStr">
        <is>
          <t>食材</t>
        </is>
      </c>
      <c r="C64" s="6" t="inlineStr">
        <is>
          <t>硕美进货，肉片500斤4000，小笼包50斤5500，肉燕50斤900，牛肉羹50斤850，调味料60，运费195，4000货品算到4月用</t>
        </is>
      </c>
    </row>
    <row r="65">
      <c r="A65" s="53" t="n">
        <v>106</v>
      </c>
      <c r="B65" s="6" t="inlineStr">
        <is>
          <t>食材</t>
        </is>
      </c>
      <c r="C65" s="6" t="inlineStr">
        <is>
          <t>勺子78+筷子28</t>
        </is>
      </c>
    </row>
    <row r="66">
      <c r="A66" s="53" t="n">
        <v>22.8</v>
      </c>
      <c r="B66" s="6" t="inlineStr">
        <is>
          <t>其他</t>
        </is>
      </c>
      <c r="C66" s="6" t="inlineStr">
        <is>
          <t>杀虫剂</t>
        </is>
      </c>
    </row>
    <row r="67">
      <c r="A67" s="53" t="n">
        <v>390</v>
      </c>
      <c r="B67" s="6" t="inlineStr">
        <is>
          <t>食材</t>
        </is>
      </c>
      <c r="C67" s="6" t="inlineStr">
        <is>
          <t>1280打包盒1000个</t>
        </is>
      </c>
    </row>
    <row r="68">
      <c r="A68" s="53" t="n">
        <v>246</v>
      </c>
      <c r="B68" s="6" t="inlineStr">
        <is>
          <t>食材</t>
        </is>
      </c>
      <c r="C68" s="6" t="inlineStr">
        <is>
          <t>1000打包盒600分</t>
        </is>
      </c>
    </row>
    <row r="69">
      <c r="A69" s="53" t="n">
        <v>130</v>
      </c>
      <c r="B69" s="6" t="inlineStr">
        <is>
          <t>其他</t>
        </is>
      </c>
      <c r="C69" s="6" t="inlineStr">
        <is>
          <t>浙游记开业花篮赠送</t>
        </is>
      </c>
    </row>
    <row r="70">
      <c r="A70" s="53" t="n">
        <v>96</v>
      </c>
      <c r="B70" s="6" t="inlineStr">
        <is>
          <t>食材</t>
        </is>
      </c>
      <c r="C70" s="6" t="inlineStr">
        <is>
          <t>浙游记肉片样品</t>
        </is>
      </c>
    </row>
    <row r="71">
      <c r="A71" s="53" t="n">
        <v>104.36</v>
      </c>
      <c r="B71" s="6" t="inlineStr">
        <is>
          <t>食材</t>
        </is>
      </c>
      <c r="C71" s="6" t="inlineStr">
        <is>
          <t>快驴差价</t>
        </is>
      </c>
    </row>
    <row r="72">
      <c r="A72" s="12" t="n"/>
      <c r="B72" s="26" t="n"/>
      <c r="C72" s="4" t="n"/>
    </row>
    <row r="73">
      <c r="A73" s="12" t="n"/>
      <c r="B73" s="26" t="n"/>
      <c r="C73" s="4" t="n"/>
    </row>
    <row r="74">
      <c r="A74" s="12" t="n"/>
      <c r="B74" s="26" t="n"/>
      <c r="C74" s="4" t="n"/>
    </row>
    <row r="75">
      <c r="A75" s="12" t="inlineStr">
        <is>
          <t>收入明细</t>
        </is>
      </c>
      <c r="B75" s="26" t="inlineStr">
        <is>
          <t>分类</t>
        </is>
      </c>
      <c r="C75" s="4" t="inlineStr">
        <is>
          <t>说明</t>
        </is>
      </c>
    </row>
    <row r="76">
      <c r="A76" s="50" t="n">
        <v>8739.360000000001</v>
      </c>
      <c r="B76" s="26" t="inlineStr">
        <is>
          <t>微信堂食-商业码</t>
        </is>
      </c>
      <c r="C76" s="4" t="n"/>
    </row>
    <row r="77">
      <c r="A77" s="50" t="n">
        <v>108.3</v>
      </c>
      <c r="B77" s="26" t="inlineStr">
        <is>
          <t>微信堂食-经营码</t>
        </is>
      </c>
      <c r="C77" s="4" t="n"/>
    </row>
    <row r="78">
      <c r="A78" s="50" t="n">
        <v>2679.29</v>
      </c>
      <c r="B78" s="26" t="inlineStr">
        <is>
          <t>支付宝堂食</t>
        </is>
      </c>
      <c r="C78" s="4" t="n"/>
    </row>
    <row r="79">
      <c r="A79" s="50" t="n">
        <v>9171.690000000001</v>
      </c>
      <c r="B79" s="26" t="inlineStr">
        <is>
          <t>京东外卖</t>
        </is>
      </c>
      <c r="C79" s="4" t="n"/>
    </row>
    <row r="80">
      <c r="A80" s="50" t="n">
        <v>28180.51</v>
      </c>
      <c r="B80" s="26" t="inlineStr">
        <is>
          <t>淘宝外卖</t>
        </is>
      </c>
      <c r="C80" s="4" t="n"/>
    </row>
    <row r="81">
      <c r="A81" s="54" t="n">
        <v>24949.9</v>
      </c>
      <c r="B81" s="26" t="inlineStr">
        <is>
          <t>美团外卖</t>
        </is>
      </c>
      <c r="C81" s="6" t="n"/>
    </row>
    <row r="83">
      <c r="A83" s="12" t="n"/>
      <c r="B83" s="32" t="n"/>
      <c r="C83" s="9" t="n"/>
    </row>
    <row r="84">
      <c r="A84" s="12" t="n"/>
      <c r="B84" s="32" t="n"/>
      <c r="C84" s="10" t="n"/>
    </row>
    <row r="85">
      <c r="A85" s="12" t="n"/>
      <c r="C85" s="10" t="n"/>
    </row>
  </sheetData>
  <dataValidations count="1">
    <dataValidation sqref="B7:B8 B9 B10:B51 B52 B53 B54 B55 B56 B57 B58 B59 B60 B61 B62 B63 B64 B65 B66 B67 B68 B69 B70 B71" showDropDown="0" showInputMessage="1" showErrorMessage="1" allowBlank="1" type="list">
      <formula1>"房租,其他,食材,推广,水电,工资"</formula1>
    </dataValidation>
  </dataValidations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0"/>
    <pageSetUpPr/>
  </sheetPr>
  <dimension ref="A1:C25"/>
  <sheetViews>
    <sheetView workbookViewId="0">
      <selection activeCell="C14" sqref="C14"/>
    </sheetView>
  </sheetViews>
  <sheetFormatPr baseColWidth="8" defaultColWidth="9" defaultRowHeight="15" customHeight="1"/>
  <cols>
    <col width="21.125" customWidth="1" style="51" min="1" max="1"/>
    <col width="19.75" customWidth="1" min="2" max="2"/>
    <col width="125.634615384615" customWidth="1" min="3" max="3"/>
  </cols>
  <sheetData>
    <row r="1">
      <c r="A1" s="52" t="inlineStr">
        <is>
          <t>支出合计</t>
        </is>
      </c>
      <c r="B1" s="32">
        <f>SUM(支出明细2604[支出明细])</f>
        <v/>
      </c>
    </row>
    <row r="2">
      <c r="A2" s="52" t="inlineStr">
        <is>
          <t>收入合计</t>
        </is>
      </c>
      <c r="B2" s="32">
        <f>SUM(收入明细2604[收入明细])</f>
        <v/>
      </c>
    </row>
    <row r="3">
      <c r="A3" s="52" t="inlineStr">
        <is>
          <t>净利润</t>
        </is>
      </c>
      <c r="B3" s="51">
        <f>B2-B1</f>
        <v/>
      </c>
    </row>
    <row r="6">
      <c r="A6" s="52" t="inlineStr">
        <is>
          <t>支出明细</t>
        </is>
      </c>
      <c r="B6" s="4" t="inlineStr">
        <is>
          <t>分类</t>
        </is>
      </c>
      <c r="C6" s="4" t="inlineStr">
        <is>
          <t>说明</t>
        </is>
      </c>
    </row>
    <row r="7">
      <c r="A7" s="52" t="n">
        <v>4333</v>
      </c>
      <c r="B7" s="4" t="inlineStr">
        <is>
          <t>房租</t>
        </is>
      </c>
      <c r="C7" s="4" t="inlineStr">
        <is>
          <t>月租金</t>
        </is>
      </c>
    </row>
    <row r="8">
      <c r="A8" s="52" t="n">
        <v>15000</v>
      </c>
      <c r="B8" s="4" t="inlineStr">
        <is>
          <t>工资</t>
        </is>
      </c>
      <c r="C8" s="4" t="inlineStr">
        <is>
          <t>暂未支付</t>
        </is>
      </c>
    </row>
    <row r="9">
      <c r="A9" s="52" t="n">
        <v>3000</v>
      </c>
      <c r="B9" s="4" t="inlineStr">
        <is>
          <t>水电</t>
        </is>
      </c>
      <c r="C9" s="4" t="inlineStr">
        <is>
          <t>暂未支付</t>
        </is>
      </c>
    </row>
    <row r="10">
      <c r="A10" s="53" t="n">
        <v>4000</v>
      </c>
      <c r="B10" s="6" t="inlineStr">
        <is>
          <t>食材</t>
        </is>
      </c>
      <c r="C10" s="6" t="inlineStr">
        <is>
          <t>硕美进货，肉片500斤4000，小笼包50斤5500，肉燕50斤900，牛肉羹50斤850，调味料60，运费195，2555货品算到3月用</t>
        </is>
      </c>
    </row>
    <row r="11">
      <c r="A11" s="52" t="n">
        <v>397.58</v>
      </c>
      <c r="B11" s="26" t="inlineStr">
        <is>
          <t>食材</t>
        </is>
      </c>
      <c r="C11" s="4" t="inlineStr">
        <is>
          <t>调味品：味素+味精</t>
        </is>
      </c>
    </row>
    <row r="12">
      <c r="A12" s="52" t="n">
        <v>5000</v>
      </c>
      <c r="B12" s="26" t="inlineStr">
        <is>
          <t>食材</t>
        </is>
      </c>
      <c r="C12" s="4" t="inlineStr">
        <is>
          <t>快驴首充</t>
        </is>
      </c>
    </row>
    <row r="13">
      <c r="A13" s="52" t="n"/>
      <c r="B13" s="26" t="n"/>
      <c r="C13" s="4" t="n"/>
    </row>
    <row r="14">
      <c r="A14" s="52" t="n"/>
      <c r="B14" s="26" t="n"/>
      <c r="C14" s="4" t="n"/>
    </row>
    <row r="15">
      <c r="A15" s="52" t="n"/>
      <c r="B15" s="26" t="n"/>
      <c r="C15" s="4" t="n"/>
    </row>
    <row r="16">
      <c r="A16" s="52" t="inlineStr">
        <is>
          <t>收入明细</t>
        </is>
      </c>
      <c r="B16" s="26" t="inlineStr">
        <is>
          <t>分类</t>
        </is>
      </c>
      <c r="C16" s="4" t="inlineStr">
        <is>
          <t>说明</t>
        </is>
      </c>
    </row>
    <row r="17">
      <c r="A17" s="50" t="n">
        <v>0</v>
      </c>
      <c r="B17" s="26" t="inlineStr">
        <is>
          <t>微信堂食-商业码</t>
        </is>
      </c>
      <c r="C17" s="4" t="n"/>
    </row>
    <row r="18">
      <c r="A18" s="50" t="n">
        <v>0</v>
      </c>
      <c r="B18" s="26" t="inlineStr">
        <is>
          <t>微信堂食-经营码</t>
        </is>
      </c>
      <c r="C18" s="4" t="n"/>
    </row>
    <row r="19">
      <c r="A19" s="50" t="n">
        <v>0</v>
      </c>
      <c r="B19" s="26" t="inlineStr">
        <is>
          <t>支付宝堂食</t>
        </is>
      </c>
      <c r="C19" s="4" t="n"/>
    </row>
    <row r="20">
      <c r="A20" s="50" t="n">
        <v>0</v>
      </c>
      <c r="B20" s="26" t="inlineStr">
        <is>
          <t>京东外卖</t>
        </is>
      </c>
      <c r="C20" s="4" t="n"/>
    </row>
    <row r="21">
      <c r="A21" s="50" t="n">
        <v>0</v>
      </c>
      <c r="B21" s="26" t="inlineStr">
        <is>
          <t>淘宝外卖</t>
        </is>
      </c>
      <c r="C21" s="4" t="n"/>
    </row>
    <row r="22">
      <c r="A22" s="50" t="n">
        <v>0</v>
      </c>
      <c r="B22" s="26" t="inlineStr">
        <is>
          <t>美团外卖</t>
        </is>
      </c>
      <c r="C22" s="6" t="n"/>
    </row>
    <row r="23">
      <c r="A23" s="52" t="n"/>
      <c r="B23" s="32" t="n"/>
      <c r="C23" s="9" t="n"/>
    </row>
    <row r="24">
      <c r="A24" s="52" t="n"/>
      <c r="B24" s="32" t="n"/>
      <c r="C24" s="10" t="n"/>
    </row>
    <row r="25">
      <c r="A25" s="52" t="n"/>
      <c r="C25" s="10" t="n"/>
    </row>
  </sheetData>
  <dataValidations count="1">
    <dataValidation sqref="B7:B8 B9 B10 B11 B12" showDropDown="0" showInputMessage="1" showErrorMessage="1" allowBlank="1" type="list">
      <formula1>"房租,其他,食材,推广,水电,工资"</formula1>
    </dataValidation>
  </dataValidations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2026-02-17T11:28:00Z</dcterms:created>
  <dcterms:modified xsi:type="dcterms:W3CDTF">2026-04-01T06:20:12Z</dcterms:modified>
  <cp:lastModifiedBy>yalla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2052-5.1.0.7912</vt:lpwstr>
  </property>
</Properties>
</file>