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900" activeTab="1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<sst xmlns="http://schemas.openxmlformats.org/spreadsheetml/2006/main" count="409" uniqueCount="138">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</sst>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b/>
      <sz val="11"/>
      <color rgb="FFFFFF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7" fillId="42" borderId="0">
      <alignment vertical="center"/>
    </xf>
    <xf numFmtId="0" fontId="8" fillId="39" borderId="0">
      <alignment vertical="center"/>
    </xf>
    <xf numFmtId="0" fontId="7" fillId="36" borderId="0">
      <alignment vertical="center"/>
    </xf>
    <xf numFmtId="0" fontId="20" fillId="23" borderId="13">
      <alignment vertical="center"/>
    </xf>
    <xf numFmtId="0" fontId="8" fillId="37" borderId="0">
      <alignment vertical="center"/>
    </xf>
    <xf numFmtId="0" fontId="8" fillId="31" borderId="0">
      <alignment vertical="center"/>
    </xf>
    <xf numFmtId="44" fontId="0" fillId="0" borderId="0">
      <alignment vertical="center"/>
    </xf>
    <xf numFmtId="0" fontId="7" fillId="28" borderId="0">
      <alignment vertical="center"/>
    </xf>
    <xf numFmtId="9" fontId="0" fillId="0" borderId="0">
      <alignment vertical="center"/>
    </xf>
    <xf numFmtId="0" fontId="7" fillId="33" borderId="0">
      <alignment vertical="center"/>
    </xf>
    <xf numFmtId="0" fontId="7" fillId="24" borderId="0">
      <alignment vertical="center"/>
    </xf>
    <xf numFmtId="0" fontId="7" fillId="38" borderId="0">
      <alignment vertical="center"/>
    </xf>
    <xf numFmtId="0" fontId="7" fillId="32" borderId="0">
      <alignment vertical="center"/>
    </xf>
    <xf numFmtId="0" fontId="7" fillId="16" borderId="0">
      <alignment vertical="center"/>
    </xf>
    <xf numFmtId="0" fontId="23" fillId="15" borderId="13">
      <alignment vertical="center"/>
    </xf>
    <xf numFmtId="0" fontId="7" fillId="27" borderId="0">
      <alignment vertical="center"/>
    </xf>
    <xf numFmtId="0" fontId="21" fillId="25" borderId="0">
      <alignment vertical="center"/>
    </xf>
    <xf numFmtId="0" fontId="8" fillId="21" borderId="0">
      <alignment vertical="center"/>
    </xf>
    <xf numFmtId="0" fontId="19" fillId="19" borderId="0">
      <alignment vertical="center"/>
    </xf>
    <xf numFmtId="0" fontId="8" fillId="41" borderId="0">
      <alignment vertical="center"/>
    </xf>
    <xf numFmtId="0" fontId="18" fillId="0" borderId="10">
      <alignment vertical="center"/>
    </xf>
    <xf numFmtId="0" fontId="24" fillId="40" borderId="0">
      <alignment vertical="center"/>
    </xf>
    <xf numFmtId="0" fontId="6" fillId="12" borderId="6">
      <alignment vertical="center"/>
    </xf>
    <xf numFmtId="0" fontId="10" fillId="15" borderId="7">
      <alignment vertical="center"/>
    </xf>
    <xf numFmtId="0" fontId="16" fillId="0" borderId="9">
      <alignment vertical="center"/>
    </xf>
    <xf numFmtId="0" fontId="15" fillId="0" borderId="0">
      <alignment vertical="center"/>
    </xf>
    <xf numFmtId="0" fontId="8" fillId="17" borderId="0">
      <alignment vertical="center"/>
    </xf>
    <xf numFmtId="0" fontId="17" fillId="0" borderId="0">
      <alignment vertical="center"/>
    </xf>
    <xf numFmtId="42" fontId="0" fillId="0" borderId="0">
      <alignment vertical="center"/>
    </xf>
    <xf numFmtId="0" fontId="8" fillId="30" borderId="0">
      <alignment vertical="center"/>
    </xf>
    <xf numFmtId="43" fontId="0" fillId="0" borderId="0">
      <alignment vertical="center"/>
    </xf>
    <xf numFmtId="0" fontId="14" fillId="0" borderId="0">
      <alignment vertical="center"/>
    </xf>
    <xf numFmtId="0" fontId="11" fillId="0" borderId="0">
      <alignment vertical="center"/>
    </xf>
    <xf numFmtId="0" fontId="8" fillId="18" borderId="0">
      <alignment vertical="center"/>
    </xf>
    <xf numFmtId="0" fontId="9" fillId="0" borderId="0">
      <alignment vertical="center"/>
    </xf>
    <xf numFmtId="0" fontId="7" fillId="35" borderId="0">
      <alignment vertical="center"/>
    </xf>
    <xf numFmtId="0" fontId="0" fillId="22" borderId="12">
      <alignment vertical="center"/>
    </xf>
    <xf numFmtId="0" fontId="8" fillId="34" borderId="0">
      <alignment vertical="center"/>
    </xf>
    <xf numFmtId="0" fontId="7" fillId="20" borderId="0">
      <alignment vertical="center"/>
    </xf>
    <xf numFmtId="0" fontId="8" fillId="14" borderId="0">
      <alignment vertical="center"/>
    </xf>
    <xf numFmtId="0" fontId="13" fillId="0" borderId="0">
      <alignment vertical="center"/>
    </xf>
    <xf numFmtId="41" fontId="0" fillId="0" borderId="0">
      <alignment vertical="center"/>
    </xf>
    <xf numFmtId="0" fontId="22" fillId="0" borderId="9">
      <alignment vertical="center"/>
    </xf>
    <xf numFmtId="0" fontId="8" fillId="29" borderId="0">
      <alignment vertical="center"/>
    </xf>
    <xf numFmtId="0" fontId="17" fillId="0" borderId="11">
      <alignment vertical="center"/>
    </xf>
    <xf numFmtId="0" fontId="7" fillId="13" borderId="0">
      <alignment vertical="center"/>
    </xf>
    <xf numFmtId="0" fontId="8" fillId="26" borderId="0">
      <alignment vertical="center"/>
    </xf>
    <xf numFmtId="0" fontId="12" fillId="0" borderId="8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9" sqref="D9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99761.38</v>
      </c>
      <c r="C2" s="66"/>
    </row>
    <row r="3" customHeight="1" spans="1:3">
      <c r="A3" s="65" t="s">
        <v>2</v>
      </c>
      <c r="B3" s="67">
        <f>B1-B2</f>
        <v>238.619999999981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abSelected="1"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43</v>
      </c>
      <c r="C1" s="27"/>
    </row>
    <row r="2" customHeight="1" spans="1:3">
      <c r="A2" s="38" t="s">
        <v>44</v>
      </c>
      <c r="B2" s="38" t="s">
        <v>45</v>
      </c>
      <c r="C2" s="39" t="s">
        <v>46</v>
      </c>
    </row>
    <row r="3" customHeight="1" spans="1:3">
      <c r="A3" s="40" t="s">
        <v>47</v>
      </c>
      <c r="B3" s="41">
        <f>SUM(收入明细2602[收入明细])</f>
        <v>42435.74</v>
      </c>
      <c r="C3" s="40" t="s">
        <v>48</v>
      </c>
    </row>
    <row r="4" customHeight="1" spans="1:3">
      <c r="A4" s="42" t="s">
        <v>49</v>
      </c>
      <c r="B4" s="43">
        <f>SUM(支出明细2602[支出明细])</f>
        <v>40327.81</v>
      </c>
      <c r="C4" s="42" t="s">
        <v>48</v>
      </c>
    </row>
    <row r="5" customHeight="1" spans="1:3">
      <c r="A5" s="44" t="s">
        <v>50</v>
      </c>
      <c r="B5" s="45">
        <f>$B$3-SUMIF(支出明细2602[分类],"食材",支出明细2602[支出明细])</f>
        <v>18551.94</v>
      </c>
      <c r="C5" s="44" t="s">
        <v>48</v>
      </c>
    </row>
    <row r="6" customHeight="1" spans="1:3">
      <c r="A6" s="44" t="s">
        <v>51</v>
      </c>
      <c r="B6" s="45">
        <f>$B$3-$B$4</f>
        <v>2107.93</v>
      </c>
      <c r="C6" s="44" t="s">
        <v>48</v>
      </c>
    </row>
    <row r="7" customHeight="1" spans="1:3">
      <c r="A7" s="44" t="s">
        <v>52</v>
      </c>
      <c r="B7" s="46">
        <f>$B$5/$B$3</f>
        <v>0.437177247292023</v>
      </c>
      <c r="C7" s="46" t="s">
        <v>53</v>
      </c>
    </row>
    <row r="8" customHeight="1" spans="1:3">
      <c r="A8" s="44" t="s">
        <v>54</v>
      </c>
      <c r="B8" s="46">
        <f>$B$6/$B$3</f>
        <v>0.0496734592115043</v>
      </c>
      <c r="C8" s="46" t="s">
        <v>53</v>
      </c>
    </row>
    <row r="11" customHeight="1" spans="1:1">
      <c r="A11" s="47" t="s">
        <v>55</v>
      </c>
    </row>
    <row r="12" customHeight="1" spans="1:3">
      <c r="A12" s="48" t="s">
        <v>56</v>
      </c>
      <c r="B12" s="48" t="s">
        <v>57</v>
      </c>
      <c r="C12" s="48" t="s">
        <v>58</v>
      </c>
    </row>
    <row r="13" customHeight="1" spans="1:3">
      <c r="A13" s="44" t="s">
        <v>59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60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61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62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63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64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65</v>
      </c>
    </row>
    <row r="22" customHeight="1" spans="1:3">
      <c r="A22" s="56" t="s">
        <v>66</v>
      </c>
      <c r="B22" s="56" t="s">
        <v>57</v>
      </c>
      <c r="C22" s="56" t="s">
        <v>58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67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64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68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61</v>
      </c>
      <c r="C33" s="63"/>
    </row>
    <row r="34" customHeight="1" spans="1:3">
      <c r="A34" s="62">
        <v>1861.8</v>
      </c>
      <c r="B34" s="35" t="s">
        <v>62</v>
      </c>
      <c r="C34" s="63"/>
    </row>
    <row r="35" customHeight="1" spans="1:3">
      <c r="A35" s="62">
        <v>0</v>
      </c>
      <c r="B35" s="35" t="s">
        <v>63</v>
      </c>
      <c r="C35" s="63" t="s">
        <v>69</v>
      </c>
    </row>
    <row r="36" customHeight="1" spans="1:3">
      <c r="A36" s="62">
        <v>19919.1</v>
      </c>
      <c r="B36" s="35" t="s">
        <v>59</v>
      </c>
      <c r="C36" s="63"/>
    </row>
    <row r="37" customHeight="1" spans="1:3">
      <c r="A37" s="62">
        <v>13970.88</v>
      </c>
      <c r="B37" s="35" t="s">
        <v>60</v>
      </c>
      <c r="C37" s="63"/>
    </row>
    <row r="40" customHeight="1" spans="1:4">
      <c r="A40" s="64" t="s">
        <v>70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71</v>
      </c>
      <c r="D41" s="4"/>
    </row>
    <row r="42" customHeight="1" spans="1:4">
      <c r="A42" s="64">
        <v>8500</v>
      </c>
      <c r="B42" s="61" t="s">
        <v>67</v>
      </c>
      <c r="C42" s="63" t="s">
        <v>72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73</v>
      </c>
      <c r="D49" s="4"/>
    </row>
    <row r="50" customHeight="1" spans="1:4">
      <c r="A50" s="64">
        <v>2815</v>
      </c>
      <c r="B50" s="61" t="s">
        <v>37</v>
      </c>
      <c r="C50" s="63" t="s">
        <v>74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75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F12" sqref="F12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3" t="s">
        <v>68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61</v>
      </c>
      <c r="C33" s="28" t="s">
        <v>76</v>
      </c>
    </row>
    <row r="34" customHeight="1" spans="1:3">
      <c r="A34" s="29">
        <v>108.3</v>
      </c>
      <c r="B34" s="27" t="s">
        <v>61</v>
      </c>
      <c r="C34" s="28" t="s">
        <v>77</v>
      </c>
    </row>
    <row r="35" customHeight="1" spans="1:3">
      <c r="A35" s="29">
        <v>2679.29</v>
      </c>
      <c r="B35" s="27" t="s">
        <v>62</v>
      </c>
      <c r="C35" s="28"/>
    </row>
    <row r="36" customHeight="1" spans="1:3">
      <c r="A36" s="29">
        <v>9171.69</v>
      </c>
      <c r="B36" s="27" t="s">
        <v>63</v>
      </c>
      <c r="C36" s="28"/>
    </row>
    <row r="37" customHeight="1" spans="1:3">
      <c r="A37" s="29">
        <v>28180.51</v>
      </c>
      <c r="B37" s="27" t="s">
        <v>59</v>
      </c>
      <c r="C37" s="28"/>
    </row>
    <row r="38" customHeight="1" spans="1:3">
      <c r="A38" s="29">
        <v>24949.9</v>
      </c>
      <c r="B38" s="27" t="s">
        <v>60</v>
      </c>
      <c r="C38" s="28"/>
    </row>
    <row r="40" customHeight="1" spans="1:3">
      <c r="A40" s="33"/>
      <c r="B40" s="30"/>
      <c r="C40" s="31"/>
    </row>
    <row r="41" customHeight="1" spans="1:3">
      <c r="A41" s="34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78</v>
      </c>
    </row>
    <row r="44" customHeight="1" spans="1:3">
      <c r="A44" s="26">
        <v>3000</v>
      </c>
      <c r="B44" s="28" t="s">
        <v>37</v>
      </c>
      <c r="C44" s="28" t="s">
        <v>78</v>
      </c>
    </row>
    <row r="45" customHeight="1" spans="1:3">
      <c r="A45" s="26">
        <v>4140</v>
      </c>
      <c r="B45" s="28" t="s">
        <v>25</v>
      </c>
      <c r="C45" s="28" t="s">
        <v>79</v>
      </c>
    </row>
    <row r="46" customHeight="1" spans="1:3">
      <c r="A46" s="26">
        <v>7866</v>
      </c>
      <c r="B46" s="28" t="s">
        <v>25</v>
      </c>
      <c r="C46" s="28" t="s">
        <v>80</v>
      </c>
    </row>
    <row r="47" customHeight="1" spans="1:3">
      <c r="A47" s="26">
        <v>28.64</v>
      </c>
      <c r="B47" s="28" t="s">
        <v>14</v>
      </c>
      <c r="C47" s="28" t="s">
        <v>81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82</v>
      </c>
    </row>
    <row r="51" customHeight="1" spans="1:3">
      <c r="A51" s="26">
        <v>468</v>
      </c>
      <c r="B51" s="28" t="s">
        <v>25</v>
      </c>
      <c r="C51" s="28" t="s">
        <v>83</v>
      </c>
    </row>
    <row r="52" customHeight="1" spans="1:3">
      <c r="A52" s="26">
        <v>385</v>
      </c>
      <c r="B52" s="28" t="s">
        <v>25</v>
      </c>
      <c r="C52" s="28" t="s">
        <v>84</v>
      </c>
    </row>
    <row r="53" customHeight="1" spans="1:3">
      <c r="A53" s="26">
        <v>295</v>
      </c>
      <c r="B53" s="28" t="s">
        <v>25</v>
      </c>
      <c r="C53" s="28" t="s">
        <v>85</v>
      </c>
    </row>
    <row r="54" customHeight="1" spans="1:3">
      <c r="A54" s="26">
        <v>718</v>
      </c>
      <c r="B54" s="28" t="s">
        <v>25</v>
      </c>
      <c r="C54" s="28" t="s">
        <v>86</v>
      </c>
    </row>
    <row r="55" customHeight="1" spans="1:3">
      <c r="A55" s="26">
        <v>57.6</v>
      </c>
      <c r="B55" s="28" t="s">
        <v>25</v>
      </c>
      <c r="C55" s="28" t="s">
        <v>87</v>
      </c>
    </row>
    <row r="56" customHeight="1" spans="1:3">
      <c r="A56" s="26">
        <v>302.5</v>
      </c>
      <c r="B56" s="28" t="s">
        <v>25</v>
      </c>
      <c r="C56" s="28" t="s">
        <v>88</v>
      </c>
    </row>
    <row r="57" customHeight="1" spans="1:3">
      <c r="A57" s="26">
        <v>400</v>
      </c>
      <c r="B57" s="28" t="s">
        <v>32</v>
      </c>
      <c r="C57" s="28" t="s">
        <v>89</v>
      </c>
    </row>
    <row r="58" customHeight="1" spans="1:3">
      <c r="A58" s="26">
        <v>225</v>
      </c>
      <c r="B58" s="28" t="s">
        <v>25</v>
      </c>
      <c r="C58" s="28" t="s">
        <v>90</v>
      </c>
    </row>
    <row r="59" customHeight="1" spans="1:3">
      <c r="A59" s="26">
        <v>350</v>
      </c>
      <c r="B59" s="28" t="s">
        <v>25</v>
      </c>
      <c r="C59" s="28" t="s">
        <v>91</v>
      </c>
    </row>
    <row r="60" customHeight="1" spans="1:3">
      <c r="A60" s="26">
        <v>112</v>
      </c>
      <c r="B60" s="28" t="s">
        <v>25</v>
      </c>
      <c r="C60" s="28" t="s">
        <v>92</v>
      </c>
    </row>
    <row r="61" customHeight="1" spans="1:3">
      <c r="A61" s="26">
        <v>198</v>
      </c>
      <c r="B61" s="28" t="s">
        <v>25</v>
      </c>
      <c r="C61" s="28" t="s">
        <v>93</v>
      </c>
    </row>
    <row r="62" customHeight="1" spans="1:3">
      <c r="A62" s="26">
        <v>100</v>
      </c>
      <c r="B62" s="28" t="s">
        <v>32</v>
      </c>
      <c r="C62" s="28" t="s">
        <v>94</v>
      </c>
    </row>
    <row r="63" customHeight="1" spans="1:3">
      <c r="A63" s="26">
        <v>362</v>
      </c>
      <c r="B63" s="28" t="s">
        <v>25</v>
      </c>
      <c r="C63" s="28" t="s">
        <v>95</v>
      </c>
    </row>
    <row r="64" customHeight="1" spans="1:3">
      <c r="A64" s="26">
        <v>300</v>
      </c>
      <c r="B64" s="28" t="s">
        <v>32</v>
      </c>
      <c r="C64" s="28" t="s">
        <v>96</v>
      </c>
    </row>
    <row r="65" customHeight="1" spans="1:3">
      <c r="A65" s="26">
        <v>128</v>
      </c>
      <c r="B65" s="28" t="s">
        <v>25</v>
      </c>
      <c r="C65" s="28" t="s">
        <v>97</v>
      </c>
    </row>
    <row r="66" customHeight="1" spans="1:3">
      <c r="A66" s="26">
        <v>304.63</v>
      </c>
      <c r="B66" s="28" t="s">
        <v>25</v>
      </c>
      <c r="C66" s="28" t="s">
        <v>88</v>
      </c>
    </row>
    <row r="67" customHeight="1" spans="1:3">
      <c r="A67" s="26">
        <v>4355.5</v>
      </c>
      <c r="B67" s="28" t="s">
        <v>25</v>
      </c>
      <c r="C67" s="28" t="s">
        <v>98</v>
      </c>
    </row>
    <row r="68" customHeight="1" spans="1:3">
      <c r="A68" s="26">
        <v>-180</v>
      </c>
      <c r="B68" s="28" t="s">
        <v>25</v>
      </c>
      <c r="C68" s="28" t="s">
        <v>99</v>
      </c>
    </row>
    <row r="69" customHeight="1" spans="1:3">
      <c r="A69" s="26">
        <v>350</v>
      </c>
      <c r="B69" s="28" t="s">
        <v>25</v>
      </c>
      <c r="C69" s="28" t="s">
        <v>100</v>
      </c>
    </row>
    <row r="70" customHeight="1" spans="1:3">
      <c r="A70" s="26">
        <v>224</v>
      </c>
      <c r="B70" s="28" t="s">
        <v>25</v>
      </c>
      <c r="C70" s="28" t="s">
        <v>101</v>
      </c>
    </row>
    <row r="71" customHeight="1" spans="1:3">
      <c r="A71" s="26">
        <v>177</v>
      </c>
      <c r="B71" s="28" t="s">
        <v>25</v>
      </c>
      <c r="C71" s="28" t="s">
        <v>102</v>
      </c>
    </row>
    <row r="72" customHeight="1" spans="1:3">
      <c r="A72" s="26">
        <v>112.2</v>
      </c>
      <c r="B72" s="28" t="s">
        <v>25</v>
      </c>
      <c r="C72" s="28" t="s">
        <v>103</v>
      </c>
    </row>
    <row r="73" customHeight="1" spans="1:3">
      <c r="A73" s="26">
        <v>-896</v>
      </c>
      <c r="B73" s="28" t="s">
        <v>25</v>
      </c>
      <c r="C73" s="28" t="s">
        <v>104</v>
      </c>
    </row>
    <row r="74" customHeight="1" spans="1:3">
      <c r="A74" s="26">
        <v>1188</v>
      </c>
      <c r="B74" s="28" t="s">
        <v>25</v>
      </c>
      <c r="C74" s="28" t="s">
        <v>105</v>
      </c>
    </row>
    <row r="75" customHeight="1" spans="1:3">
      <c r="A75" s="26">
        <v>2500</v>
      </c>
      <c r="B75" s="28" t="s">
        <v>25</v>
      </c>
      <c r="C75" s="28" t="s">
        <v>106</v>
      </c>
    </row>
    <row r="76" customHeight="1" spans="1:3">
      <c r="A76" s="26">
        <v>299</v>
      </c>
      <c r="B76" s="28" t="s">
        <v>14</v>
      </c>
      <c r="C76" s="28" t="s">
        <v>107</v>
      </c>
    </row>
    <row r="77" customHeight="1" spans="1:3">
      <c r="A77" s="26">
        <v>-433</v>
      </c>
      <c r="B77" s="28" t="s">
        <v>25</v>
      </c>
      <c r="C77" s="28" t="s">
        <v>108</v>
      </c>
    </row>
    <row r="78" customHeight="1" spans="1:3">
      <c r="A78" s="26">
        <v>50</v>
      </c>
      <c r="B78" s="28" t="s">
        <v>32</v>
      </c>
      <c r="C78" s="28" t="s">
        <v>109</v>
      </c>
    </row>
    <row r="79" customHeight="1" spans="1:3">
      <c r="A79" s="26">
        <v>601.92</v>
      </c>
      <c r="B79" s="28" t="s">
        <v>25</v>
      </c>
      <c r="C79" s="28" t="s">
        <v>110</v>
      </c>
    </row>
    <row r="80" customHeight="1" spans="1:3">
      <c r="A80" s="26">
        <v>390</v>
      </c>
      <c r="B80" s="28" t="s">
        <v>25</v>
      </c>
      <c r="C80" s="28" t="s">
        <v>111</v>
      </c>
    </row>
    <row r="81" customHeight="1" spans="1:3">
      <c r="A81" s="26">
        <v>300</v>
      </c>
      <c r="B81" s="28" t="s">
        <v>37</v>
      </c>
      <c r="C81" s="28" t="s">
        <v>112</v>
      </c>
    </row>
    <row r="82" customHeight="1" spans="1:3">
      <c r="A82" s="26">
        <v>125.1</v>
      </c>
      <c r="B82" s="28" t="s">
        <v>25</v>
      </c>
      <c r="C82" s="28" t="s">
        <v>113</v>
      </c>
    </row>
    <row r="83" customHeight="1" spans="1:3">
      <c r="A83" s="26">
        <v>170</v>
      </c>
      <c r="B83" s="28" t="s">
        <v>25</v>
      </c>
      <c r="C83" s="28" t="s">
        <v>114</v>
      </c>
    </row>
    <row r="84" customHeight="1" spans="1:3">
      <c r="A84" s="26">
        <v>1486.65</v>
      </c>
      <c r="B84" s="28" t="s">
        <v>14</v>
      </c>
      <c r="C84" s="28" t="s">
        <v>115</v>
      </c>
    </row>
    <row r="85" customHeight="1" spans="1:3">
      <c r="A85" s="26">
        <v>198</v>
      </c>
      <c r="B85" s="28" t="s">
        <v>25</v>
      </c>
      <c r="C85" s="28" t="s">
        <v>93</v>
      </c>
    </row>
    <row r="86" customHeight="1" spans="1:3">
      <c r="A86" s="26">
        <v>308</v>
      </c>
      <c r="B86" s="28" t="s">
        <v>25</v>
      </c>
      <c r="C86" s="28" t="s">
        <v>116</v>
      </c>
    </row>
    <row r="87" customHeight="1" spans="1:3">
      <c r="A87" s="26">
        <v>7560</v>
      </c>
      <c r="B87" s="28" t="s">
        <v>25</v>
      </c>
      <c r="C87" s="28" t="s">
        <v>117</v>
      </c>
    </row>
    <row r="88" customHeight="1" spans="1:3">
      <c r="A88" s="26">
        <v>500</v>
      </c>
      <c r="B88" s="28" t="s">
        <v>25</v>
      </c>
      <c r="C88" s="28" t="s">
        <v>26</v>
      </c>
    </row>
    <row r="89" customHeight="1" spans="1:3">
      <c r="A89" s="26">
        <v>195</v>
      </c>
      <c r="B89" s="28" t="s">
        <v>25</v>
      </c>
      <c r="C89" s="28" t="s">
        <v>118</v>
      </c>
    </row>
    <row r="90" customHeight="1" spans="1:3">
      <c r="A90" s="26">
        <v>33.9</v>
      </c>
      <c r="B90" s="28" t="s">
        <v>14</v>
      </c>
      <c r="C90" s="28" t="s">
        <v>119</v>
      </c>
    </row>
    <row r="91" customHeight="1" spans="1:3">
      <c r="A91" s="26">
        <v>1410</v>
      </c>
      <c r="B91" s="28" t="s">
        <v>25</v>
      </c>
      <c r="C91" s="28" t="s">
        <v>120</v>
      </c>
    </row>
    <row r="92" customHeight="1" spans="1:3">
      <c r="A92" s="26">
        <v>81.65</v>
      </c>
      <c r="B92" s="28" t="s">
        <v>14</v>
      </c>
      <c r="C92" s="28" t="s">
        <v>121</v>
      </c>
    </row>
    <row r="93" customHeight="1" spans="1:3">
      <c r="A93" s="26">
        <v>551.92</v>
      </c>
      <c r="B93" s="28" t="s">
        <v>25</v>
      </c>
      <c r="C93" s="28" t="s">
        <v>36</v>
      </c>
    </row>
    <row r="94" customHeight="1" spans="1:3">
      <c r="A94" s="26">
        <v>246</v>
      </c>
      <c r="B94" s="28" t="s">
        <v>25</v>
      </c>
      <c r="C94" s="28" t="s">
        <v>122</v>
      </c>
    </row>
    <row r="95" customHeight="1" spans="1:3">
      <c r="A95" s="26">
        <v>244.6</v>
      </c>
      <c r="B95" s="28" t="s">
        <v>25</v>
      </c>
      <c r="C95" s="28" t="s">
        <v>123</v>
      </c>
    </row>
    <row r="96" customHeight="1" spans="1:3">
      <c r="A96" s="26">
        <v>500</v>
      </c>
      <c r="B96" s="28" t="s">
        <v>25</v>
      </c>
      <c r="C96" s="28" t="s">
        <v>26</v>
      </c>
    </row>
    <row r="97" customHeight="1" spans="1:3">
      <c r="A97" s="26">
        <v>480</v>
      </c>
      <c r="B97" s="28" t="s">
        <v>25</v>
      </c>
      <c r="C97" s="28" t="s">
        <v>124</v>
      </c>
    </row>
    <row r="98" customHeight="1" spans="1:3">
      <c r="A98" s="26">
        <v>120</v>
      </c>
      <c r="B98" s="28" t="s">
        <v>25</v>
      </c>
      <c r="C98" s="28" t="s">
        <v>125</v>
      </c>
    </row>
    <row r="99" customHeight="1" spans="1:3">
      <c r="A99" s="26">
        <v>2555</v>
      </c>
      <c r="B99" s="28" t="s">
        <v>25</v>
      </c>
      <c r="C99" s="28" t="s">
        <v>126</v>
      </c>
    </row>
    <row r="100" customHeight="1" spans="1:3">
      <c r="A100" s="26">
        <v>106</v>
      </c>
      <c r="B100" s="28" t="s">
        <v>25</v>
      </c>
      <c r="C100" s="28" t="s">
        <v>127</v>
      </c>
    </row>
    <row r="101" customHeight="1" spans="1:3">
      <c r="A101" s="26">
        <v>22.8</v>
      </c>
      <c r="B101" s="28" t="s">
        <v>14</v>
      </c>
      <c r="C101" s="28" t="s">
        <v>128</v>
      </c>
    </row>
    <row r="102" customHeight="1" spans="1:3">
      <c r="A102" s="26">
        <v>390</v>
      </c>
      <c r="B102" s="28" t="s">
        <v>25</v>
      </c>
      <c r="C102" s="28" t="s">
        <v>129</v>
      </c>
    </row>
    <row r="103" customHeight="1" spans="1:3">
      <c r="A103" s="26">
        <v>246</v>
      </c>
      <c r="B103" s="28" t="s">
        <v>25</v>
      </c>
      <c r="C103" s="28" t="s">
        <v>122</v>
      </c>
    </row>
    <row r="104" customHeight="1" spans="1:3">
      <c r="A104" s="26">
        <v>130</v>
      </c>
      <c r="B104" s="28" t="s">
        <v>14</v>
      </c>
      <c r="C104" s="28" t="s">
        <v>130</v>
      </c>
    </row>
    <row r="105" customHeight="1" spans="1:3">
      <c r="A105" s="26">
        <v>96</v>
      </c>
      <c r="B105" s="28" t="s">
        <v>25</v>
      </c>
      <c r="C105" s="28" t="s">
        <v>131</v>
      </c>
    </row>
    <row r="106" customHeight="1" spans="1:3">
      <c r="A106" s="26">
        <v>104.36</v>
      </c>
      <c r="B106" s="28" t="s">
        <v>25</v>
      </c>
      <c r="C106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E21" sqref="E21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68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62</v>
      </c>
      <c r="C35" s="28"/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59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78</v>
      </c>
    </row>
    <row r="44" customHeight="1" spans="1:3">
      <c r="A44" s="26">
        <v>3000</v>
      </c>
      <c r="B44" s="28" t="s">
        <v>37</v>
      </c>
      <c r="C44" s="28" t="s">
        <v>78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2026-02-24T03:28:00Z</dcterms:created>
  <dcterms:modified xsi:type="dcterms:W3CDTF">2026-04-01T17:27:15Z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