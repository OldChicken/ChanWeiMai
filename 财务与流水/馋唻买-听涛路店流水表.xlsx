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300" activeTab="3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</sheets>
  <calcPr calcId="144525"/>
</workbook>
</file>

<file path=xl/sharedStrings.xml><?xml version="1.0" encoding="utf-8"?>
<sst xmlns="http://schemas.openxmlformats.org/spreadsheetml/2006/main" count="522" uniqueCount="166">
  <si>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</si>
  <si>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</si>
  <si>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</si>
  <si>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</si>
  <si>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</si>
  <si>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</si>
  <si>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</si>
  <si>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</si>
  <si>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</si>
  <si>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</si>
  <si>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</si>
  <si>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</si>
  <si>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</si>
  <si>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</si>
  <si>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</si>
  <si>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</si>
  <si>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</si>
  <si>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</si>
  <si>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</si>
  <si>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</si>
  <si>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</si>
  <si>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</si>
  <si>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</si>
  <si>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</si>
  <si>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</si>
  <si>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</si>
  <si>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</si>
  <si>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</si>
  <si>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</si>
  <si>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</si>
  <si>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</si>
  <si>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</si>
  <si>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</si>
  <si>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</si>
  <si>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</si>
  <si>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</si>
  <si>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</si>
  <si>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</si>
  <si>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</si>
  <si>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</si>
  <si>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</si>
  <si>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</si>
  <si>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</si>
  <si>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</si>
  <si>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</si>
  <si>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</si>
  <si>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</si>
  <si>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</si>
  <si>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</si>
  <si>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</si>
  <si>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</si>
  <si>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</si>
  <si>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</si>
  <si>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</si>
  <si>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</si>
  <si>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</si>
  <si>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</si>
  <si>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</si>
  <si>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</si>
  <si>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</si>
  <si>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</si>
  <si>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</si>
  <si>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</si>
  <si>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</si>
  <si>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</si>
  <si>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</si>
  <si>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</si>
  <si>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</si>
  <si>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</si>
  <si>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</si>
  <si>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</si>
  <si>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</si>
  <si>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</si>
  <si>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</si>
  <si>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</si>
  <si>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</si>
  <si>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</si>
  <si>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</si>
  <si>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</si>
  <si>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</si>
  <si>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</si>
  <si>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</si>
  <si>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</si>
  <si>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</si>
  <si>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</si>
  <si>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</si>
  <si>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</si>
  <si>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</si>
  <si>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</si>
  <si>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</si>
  <si>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</si>
  <si>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</si>
  <si>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</si>
  <si>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</si>
  <si>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</si>
  <si>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</si>
  <si>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</si>
  <si>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</si>
  <si>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</si>
  <si>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</si>
  <si>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</si>
  <si>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</si>
  <si>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</si>
  <si>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</si>
  <si>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</si>
  <si>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</si>
  <si>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</si>
  <si>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</si>
  <si>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</si>
  <si>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</si>
  <si>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</si>
  <si>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</si>
  <si>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</si>
  <si>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</si>
  <si>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</si>
  <si>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</si>
  <si>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</si>
  <si>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</si>
  <si>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</si>
  <si>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</si>
  <si>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</si>
  <si>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</si>
  <si>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</si>
  <si>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</si>
  <si>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</si>
  <si>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</si>
  <si>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</si>
  <si>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</si>
  <si>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</si>
  <si>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</si>
  <si>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</si>
  <si>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</si>
  <si>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</si>
  <si>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</si>
  <si>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</si>
  <si>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</si>
  <si>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</si>
  <si>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</si>
  <si>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暂未支付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</si>
  <si>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</si>
  <si>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</si>
  <si>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</si>
  <si>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</si>
  <si>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</si>
  <si>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</si>
  <si>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</si>
  <si>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</si>
  <si>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</si>
  <si>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</si>
  <si>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</si>
  <si>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</si>
  <si>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</si>
  <si>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</si>
  <si>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</si>
  <si>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</si>
  <si>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</si>
  <si>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</si>
  <si>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</si>
  <si>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</si>
  <si>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</si>
  <si>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</si>
  <si>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微信堂食-商业码</t>
  </si>
  <si>
    <t>微信堂食-经营码</t>
  </si>
  <si>
    <t>快驴首充</t>
  </si>
  <si>
    <t>白琳肉筋</t>
  </si>
  <si>
    <t>调味粉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</si>
</sst>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178" formatCode="0.00_ ;[Red]\-0.00\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sz val="14"/>
      <color theme="1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9" fillId="3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40" borderId="0" applyNumberFormat="0" applyBorder="0" applyAlignment="0" applyProtection="0">
      <alignment vertical="center"/>
    </xf>
    <xf numFmtId="0" fontId="25" fillId="42" borderId="13" applyNumberForma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9" fillId="4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24" fillId="19" borderId="13" applyNumberFormat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8" fillId="21" borderId="10" applyNumberFormat="0" applyAlignment="0" applyProtection="0">
      <alignment vertical="center"/>
    </xf>
    <xf numFmtId="0" fontId="17" fillId="19" borderId="8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0" fillId="34" borderId="12" applyNumberFormat="0" applyFont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</cellStyleXfs>
  <cellXfs count="71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0" fontId="5" fillId="0" borderId="0" xfId="0" applyFont="1" applyAlignment="1">
      <alignment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4" fontId="6" fillId="0" borderId="0" xfId="0" applyNumberFormat="1" applyFont="1" applyAlignment="1">
      <alignment horizontal="left" vertical="center" wrapText="1"/>
    </xf>
    <xf numFmtId="1" fontId="6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1:C50">
  <autoFilter ref="A41:C50">
    <filterColumn colId="1">
      <customFilters>
        <customFilter operator="equal" val="食材"/>
      </customFilters>
    </filterColumn>
  </autoFilter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6" customWidth="1"/>
    <col min="2" max="2" width="30.6634615384615" style="67" customWidth="1"/>
    <col min="3" max="3" width="30.6634615384615" style="68" customWidth="1"/>
    <col min="4" max="4" width="30.6634615384615" style="67" customWidth="1"/>
    <col min="5" max="16384" width="30.6634615384615" style="67"/>
  </cols>
  <sheetData>
    <row r="1" customHeight="1" spans="1:3">
      <c r="A1" s="66" t="s">
        <v>0</v>
      </c>
      <c r="B1" s="69">
        <v>100000</v>
      </c>
      <c r="C1" s="67"/>
    </row>
    <row r="2" customHeight="1" spans="1:3">
      <c r="A2" s="66" t="s">
        <v>1</v>
      </c>
      <c r="B2" s="68">
        <f>SUM(成本明细[金额(元)])</f>
        <v>101248.03</v>
      </c>
      <c r="C2" s="67"/>
    </row>
    <row r="3" customHeight="1" spans="1:3">
      <c r="A3" s="66" t="s">
        <v>2</v>
      </c>
      <c r="B3" s="68">
        <f>B1-B2</f>
        <v>-1248.03000000001</v>
      </c>
      <c r="C3" s="67"/>
    </row>
    <row r="6" customHeight="1" spans="1:3">
      <c r="A6" s="66" t="s">
        <v>3</v>
      </c>
      <c r="B6" s="67" t="s">
        <v>4</v>
      </c>
      <c r="C6" s="68" t="s">
        <v>5</v>
      </c>
    </row>
    <row r="7" customHeight="1" spans="1:3">
      <c r="A7" s="70">
        <v>10000</v>
      </c>
      <c r="B7" s="67" t="s">
        <v>6</v>
      </c>
      <c r="C7" s="68" t="s">
        <v>7</v>
      </c>
    </row>
    <row r="8" customHeight="1" spans="1:3">
      <c r="A8" s="70">
        <v>26000</v>
      </c>
      <c r="B8" s="67" t="s">
        <v>6</v>
      </c>
      <c r="C8" s="68" t="s">
        <v>8</v>
      </c>
    </row>
    <row r="9" customHeight="1" spans="1:3">
      <c r="A9" s="70">
        <v>6000</v>
      </c>
      <c r="B9" s="67" t="s">
        <v>9</v>
      </c>
      <c r="C9" s="68" t="s">
        <v>10</v>
      </c>
    </row>
    <row r="10" customHeight="1" spans="1:3">
      <c r="A10" s="70">
        <v>3000</v>
      </c>
      <c r="B10" s="67" t="s">
        <v>9</v>
      </c>
      <c r="C10" s="68" t="s">
        <v>11</v>
      </c>
    </row>
    <row r="11" customHeight="1" spans="1:3">
      <c r="A11" s="70">
        <v>2100</v>
      </c>
      <c r="B11" s="67" t="s">
        <v>9</v>
      </c>
      <c r="C11" s="68" t="s">
        <v>12</v>
      </c>
    </row>
    <row r="12" customHeight="1" spans="1:3">
      <c r="A12" s="70">
        <v>340</v>
      </c>
      <c r="B12" s="67" t="s">
        <v>9</v>
      </c>
      <c r="C12" s="68" t="s">
        <v>13</v>
      </c>
    </row>
    <row r="13" customHeight="1" spans="1:3">
      <c r="A13" s="70">
        <v>200</v>
      </c>
      <c r="B13" s="67" t="s">
        <v>14</v>
      </c>
      <c r="C13" s="68" t="s">
        <v>15</v>
      </c>
    </row>
    <row r="14" customHeight="1" spans="1:3">
      <c r="A14" s="70">
        <v>11000</v>
      </c>
      <c r="B14" s="67" t="s">
        <v>16</v>
      </c>
      <c r="C14" s="68" t="s">
        <v>17</v>
      </c>
    </row>
    <row r="15" customHeight="1" spans="1:3">
      <c r="A15" s="70">
        <v>5000</v>
      </c>
      <c r="B15" s="67" t="s">
        <v>9</v>
      </c>
      <c r="C15" s="68" t="s">
        <v>18</v>
      </c>
    </row>
    <row r="16" customHeight="1" spans="1:3">
      <c r="A16" s="70">
        <v>755</v>
      </c>
      <c r="B16" s="67" t="s">
        <v>16</v>
      </c>
      <c r="C16" s="68" t="s">
        <v>19</v>
      </c>
    </row>
    <row r="17" customHeight="1" spans="1:3">
      <c r="A17" s="70">
        <v>190</v>
      </c>
      <c r="B17" s="67" t="s">
        <v>9</v>
      </c>
      <c r="C17" s="68" t="s">
        <v>20</v>
      </c>
    </row>
    <row r="18" customHeight="1" spans="1:3">
      <c r="A18" s="70">
        <v>405.9</v>
      </c>
      <c r="B18" s="67" t="s">
        <v>16</v>
      </c>
      <c r="C18" s="68" t="s">
        <v>21</v>
      </c>
    </row>
    <row r="19" customHeight="1" spans="1:3">
      <c r="A19" s="70">
        <v>228</v>
      </c>
      <c r="B19" s="67" t="s">
        <v>16</v>
      </c>
      <c r="C19" s="68" t="s">
        <v>22</v>
      </c>
    </row>
    <row r="20" customHeight="1" spans="1:3">
      <c r="A20" s="70">
        <v>639.5</v>
      </c>
      <c r="B20" s="67" t="s">
        <v>16</v>
      </c>
      <c r="C20" s="68" t="s">
        <v>23</v>
      </c>
    </row>
    <row r="21" customHeight="1" spans="1:3">
      <c r="A21" s="70">
        <v>1259.1</v>
      </c>
      <c r="B21" s="67" t="s">
        <v>16</v>
      </c>
      <c r="C21" s="68" t="s">
        <v>24</v>
      </c>
    </row>
    <row r="22" customHeight="1" spans="1:3">
      <c r="A22" s="70">
        <v>1000</v>
      </c>
      <c r="B22" s="67" t="s">
        <v>25</v>
      </c>
      <c r="C22" s="68" t="s">
        <v>26</v>
      </c>
    </row>
    <row r="23" customHeight="1" spans="1:3">
      <c r="A23" s="70">
        <v>13260</v>
      </c>
      <c r="B23" s="67" t="s">
        <v>25</v>
      </c>
      <c r="C23" s="68" t="s">
        <v>27</v>
      </c>
    </row>
    <row r="24" customHeight="1" spans="1:3">
      <c r="A24" s="70">
        <v>47.97</v>
      </c>
      <c r="B24" s="67" t="s">
        <v>14</v>
      </c>
      <c r="C24" s="68" t="s">
        <v>28</v>
      </c>
    </row>
    <row r="25" customHeight="1" spans="1:3">
      <c r="A25" s="70">
        <v>276.1</v>
      </c>
      <c r="B25" s="67" t="s">
        <v>14</v>
      </c>
      <c r="C25" s="68" t="s">
        <v>29</v>
      </c>
    </row>
    <row r="26" customHeight="1" spans="1:3">
      <c r="A26" s="70">
        <v>6000</v>
      </c>
      <c r="B26" s="67" t="s">
        <v>9</v>
      </c>
      <c r="C26" s="68" t="s">
        <v>30</v>
      </c>
    </row>
    <row r="27" customHeight="1" spans="1:3">
      <c r="A27" s="70">
        <v>640</v>
      </c>
      <c r="B27" s="67" t="s">
        <v>9</v>
      </c>
      <c r="C27" s="68" t="s">
        <v>31</v>
      </c>
    </row>
    <row r="28" customHeight="1" spans="1:3">
      <c r="A28" s="70">
        <v>500</v>
      </c>
      <c r="B28" s="67" t="s">
        <v>32</v>
      </c>
      <c r="C28" s="68" t="s">
        <v>33</v>
      </c>
    </row>
    <row r="29" customHeight="1" spans="1:3">
      <c r="A29" s="70">
        <v>600</v>
      </c>
      <c r="B29" s="67" t="s">
        <v>32</v>
      </c>
      <c r="C29" s="68" t="s">
        <v>34</v>
      </c>
    </row>
    <row r="30" customHeight="1" spans="1:3">
      <c r="A30" s="70">
        <v>938</v>
      </c>
      <c r="B30" s="67" t="s">
        <v>25</v>
      </c>
      <c r="C30" s="68" t="s">
        <v>35</v>
      </c>
    </row>
    <row r="31" customHeight="1" spans="1:3">
      <c r="A31" s="70">
        <v>1000</v>
      </c>
      <c r="B31" s="67" t="s">
        <v>25</v>
      </c>
      <c r="C31" s="68" t="s">
        <v>26</v>
      </c>
    </row>
    <row r="32" customHeight="1" spans="1:3">
      <c r="A32" s="70">
        <v>60.5</v>
      </c>
      <c r="B32" s="67" t="s">
        <v>25</v>
      </c>
      <c r="C32" s="68" t="s">
        <v>36</v>
      </c>
    </row>
    <row r="33" customHeight="1" spans="1:3">
      <c r="A33" s="70">
        <v>162.41</v>
      </c>
      <c r="B33" s="67" t="s">
        <v>37</v>
      </c>
      <c r="C33" s="68" t="s">
        <v>38</v>
      </c>
    </row>
    <row r="34" customHeight="1" spans="1:3">
      <c r="A34" s="70">
        <v>42.16</v>
      </c>
      <c r="B34" s="67" t="s">
        <v>25</v>
      </c>
      <c r="C34" s="68" t="s">
        <v>35</v>
      </c>
    </row>
    <row r="35" customHeight="1" spans="1:3">
      <c r="A35" s="70">
        <v>1000</v>
      </c>
      <c r="B35" s="67" t="s">
        <v>25</v>
      </c>
      <c r="C35" s="68" t="s">
        <v>26</v>
      </c>
    </row>
    <row r="36" customHeight="1" spans="1:3">
      <c r="A36" s="70">
        <v>500</v>
      </c>
      <c r="B36" s="67" t="s">
        <v>9</v>
      </c>
      <c r="C36" s="68" t="s">
        <v>39</v>
      </c>
    </row>
    <row r="37" customHeight="1" spans="1:3">
      <c r="A37" s="70">
        <v>1300</v>
      </c>
      <c r="B37" s="67" t="s">
        <v>25</v>
      </c>
      <c r="C37" s="68" t="s">
        <v>40</v>
      </c>
    </row>
    <row r="38" customHeight="1" spans="1:3">
      <c r="A38" s="70">
        <v>253.84</v>
      </c>
      <c r="B38" s="67" t="s">
        <v>25</v>
      </c>
      <c r="C38" s="68" t="s">
        <v>36</v>
      </c>
    </row>
    <row r="39" customHeight="1" spans="1:3">
      <c r="A39" s="70">
        <v>1000</v>
      </c>
      <c r="B39" s="67" t="s">
        <v>25</v>
      </c>
      <c r="C39" s="68" t="s">
        <v>26</v>
      </c>
    </row>
    <row r="40" customHeight="1" spans="1:3">
      <c r="A40" s="70">
        <v>355.3</v>
      </c>
      <c r="B40" s="67" t="s">
        <v>25</v>
      </c>
      <c r="C40" s="68" t="s">
        <v>36</v>
      </c>
    </row>
    <row r="41" customHeight="1" spans="1:3">
      <c r="A41" s="70">
        <v>3000</v>
      </c>
      <c r="B41" s="67" t="s">
        <v>25</v>
      </c>
      <c r="C41" s="68" t="s">
        <v>41</v>
      </c>
    </row>
    <row r="42" customHeight="1" spans="1:3">
      <c r="A42" s="70">
        <v>174</v>
      </c>
      <c r="B42" s="67" t="s">
        <v>25</v>
      </c>
      <c r="C42" s="68" t="s">
        <v>36</v>
      </c>
    </row>
    <row r="43" customHeight="1" spans="1:3">
      <c r="A43" s="70">
        <v>33.6</v>
      </c>
      <c r="B43" s="67" t="s">
        <v>14</v>
      </c>
      <c r="C43" s="68" t="s">
        <v>42</v>
      </c>
    </row>
    <row r="44" customHeight="1" spans="1:3">
      <c r="A44" s="70">
        <v>500</v>
      </c>
      <c r="B44" s="67" t="s">
        <v>25</v>
      </c>
      <c r="C44" s="68" t="s">
        <v>26</v>
      </c>
    </row>
    <row r="45" customHeight="1" spans="1:3">
      <c r="A45" s="70">
        <v>1486.65</v>
      </c>
      <c r="B45" s="70" t="s">
        <v>16</v>
      </c>
      <c r="C45" s="70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6" customWidth="1"/>
    <col min="3" max="3" width="30.6634615384615" style="37" customWidth="1"/>
    <col min="4" max="4" width="30.6634615384615" style="36" customWidth="1"/>
    <col min="5" max="16384" width="30.6634615384615" style="36"/>
  </cols>
  <sheetData>
    <row r="1" s="4" customFormat="1" customHeight="1" spans="1:3">
      <c r="A1" s="38" t="s">
        <v>44</v>
      </c>
      <c r="C1" s="27"/>
    </row>
    <row r="2" customHeight="1" spans="1:3">
      <c r="A2" s="39" t="s">
        <v>45</v>
      </c>
      <c r="B2" s="39" t="s">
        <v>46</v>
      </c>
      <c r="C2" s="40" t="s">
        <v>47</v>
      </c>
    </row>
    <row r="3" customHeight="1" spans="1:3">
      <c r="A3" s="41" t="s">
        <v>48</v>
      </c>
      <c r="B3" s="42">
        <f>SUM(收入明细2602[收入明细])</f>
        <v>42435.74</v>
      </c>
      <c r="C3" s="41" t="s">
        <v>49</v>
      </c>
    </row>
    <row r="4" customHeight="1" spans="1:3">
      <c r="A4" s="43" t="s">
        <v>50</v>
      </c>
      <c r="B4" s="44">
        <f>SUM(支出明细2602[支出明细])</f>
        <v>40327.81</v>
      </c>
      <c r="C4" s="43" t="s">
        <v>49</v>
      </c>
    </row>
    <row r="5" customHeight="1" spans="1:3">
      <c r="A5" s="45" t="s">
        <v>51</v>
      </c>
      <c r="B5" s="46">
        <f>$B$3-SUMIF(支出明细2602[分类],"食材",支出明细2602[支出明细])</f>
        <v>18551.94</v>
      </c>
      <c r="C5" s="45" t="s">
        <v>49</v>
      </c>
    </row>
    <row r="6" customHeight="1" spans="1:3">
      <c r="A6" s="45" t="s">
        <v>52</v>
      </c>
      <c r="B6" s="46">
        <f>$B$3-$B$4</f>
        <v>2107.93</v>
      </c>
      <c r="C6" s="45" t="s">
        <v>49</v>
      </c>
    </row>
    <row r="7" customHeight="1" spans="1:3">
      <c r="A7" s="45" t="s">
        <v>53</v>
      </c>
      <c r="B7" s="47">
        <f>$B$5/$B$3</f>
        <v>0.437177247292023</v>
      </c>
      <c r="C7" s="47" t="s">
        <v>54</v>
      </c>
    </row>
    <row r="8" customHeight="1" spans="1:3">
      <c r="A8" s="45" t="s">
        <v>55</v>
      </c>
      <c r="B8" s="47">
        <f>$B$6/$B$3</f>
        <v>0.0496734592115043</v>
      </c>
      <c r="C8" s="47" t="s">
        <v>54</v>
      </c>
    </row>
    <row r="11" customHeight="1" spans="1:1">
      <c r="A11" s="48" t="s">
        <v>56</v>
      </c>
    </row>
    <row r="12" customHeight="1" spans="1:3">
      <c r="A12" s="49" t="s">
        <v>57</v>
      </c>
      <c r="B12" s="49" t="s">
        <v>58</v>
      </c>
      <c r="C12" s="49" t="s">
        <v>59</v>
      </c>
    </row>
    <row r="13" customHeight="1" spans="1:3">
      <c r="A13" s="45" t="s">
        <v>60</v>
      </c>
      <c r="B13" s="46">
        <f>SUMIF(收入明细2602[分类],"淘宝外卖",收入明细2602[收入明细])</f>
        <v>19919.1</v>
      </c>
      <c r="C13" s="47">
        <f>$B$13/$B$3</f>
        <v>0.469394430260907</v>
      </c>
    </row>
    <row r="14" customHeight="1" spans="1:3">
      <c r="A14" s="50" t="s">
        <v>61</v>
      </c>
      <c r="B14" s="51">
        <f>SUMIF(收入明细2602[分类],"美团外卖",收入明细2602[收入明细])</f>
        <v>13970.88</v>
      </c>
      <c r="C14" s="52">
        <f>$B$14/$B$3</f>
        <v>0.329224375491037</v>
      </c>
    </row>
    <row r="15" customHeight="1" spans="1:3">
      <c r="A15" s="45" t="s">
        <v>62</v>
      </c>
      <c r="B15" s="46">
        <f>SUMIF(收入明细2602[分类],"微信堂食",收入明细2602[收入明细])</f>
        <v>6683.96</v>
      </c>
      <c r="C15" s="47">
        <f>$B$15/$B$3</f>
        <v>0.157507798850686</v>
      </c>
    </row>
    <row r="16" customHeight="1" spans="1:3">
      <c r="A16" s="50" t="s">
        <v>63</v>
      </c>
      <c r="B16" s="51">
        <f>SUMIF(收入明细2602[分类],"支付宝堂食",收入明细2602[收入明细])</f>
        <v>1861.8</v>
      </c>
      <c r="C16" s="52">
        <f>$B$16/$B$3</f>
        <v>0.0438733953973702</v>
      </c>
    </row>
    <row r="17" customHeight="1" spans="1:3">
      <c r="A17" s="45" t="s">
        <v>64</v>
      </c>
      <c r="B17" s="46">
        <f>SUMIF(收入明细2602[分类],"京东外卖",收入明细2602[收入明细])</f>
        <v>0</v>
      </c>
      <c r="C17" s="47">
        <f>$B$17/$B$3</f>
        <v>0</v>
      </c>
    </row>
    <row r="18" customHeight="1" spans="1:3">
      <c r="A18" s="53" t="s">
        <v>65</v>
      </c>
      <c r="B18" s="54">
        <f>SUM(收入明细2602[收入明细])</f>
        <v>42435.74</v>
      </c>
      <c r="C18" s="55">
        <f>SUM($C$13:$C$17)</f>
        <v>1</v>
      </c>
    </row>
    <row r="21" customHeight="1" spans="1:1">
      <c r="A21" s="56" t="s">
        <v>66</v>
      </c>
    </row>
    <row r="22" customHeight="1" spans="1:3">
      <c r="A22" s="57" t="s">
        <v>67</v>
      </c>
      <c r="B22" s="57" t="s">
        <v>58</v>
      </c>
      <c r="C22" s="57" t="s">
        <v>59</v>
      </c>
    </row>
    <row r="23" customHeight="1" spans="1:3">
      <c r="A23" s="50" t="s">
        <v>25</v>
      </c>
      <c r="B23" s="51">
        <f>SUMIF(支出明细2602[分类],"食材",支出明细2602[支出明细])</f>
        <v>23883.8</v>
      </c>
      <c r="C23" s="52">
        <f>$B$23/$B$4</f>
        <v>0.592241433392986</v>
      </c>
    </row>
    <row r="24" customHeight="1" spans="1:3">
      <c r="A24" s="45" t="s">
        <v>68</v>
      </c>
      <c r="B24" s="46">
        <f>SUMIF(支出明细2602[分类],"工资",支出明细2602[支出明细])</f>
        <v>8500</v>
      </c>
      <c r="C24" s="47">
        <f>$B$24/$B$4</f>
        <v>0.210772665314581</v>
      </c>
    </row>
    <row r="25" customHeight="1" spans="1:3">
      <c r="A25" s="50" t="s">
        <v>6</v>
      </c>
      <c r="B25" s="51">
        <f>SUMIF(支出明细2602[分类],"房租",支出明细2602[支出明细])</f>
        <v>4333</v>
      </c>
      <c r="C25" s="52">
        <f>$B$25/$B$4</f>
        <v>0.107444465742127</v>
      </c>
    </row>
    <row r="26" customHeight="1" spans="1:3">
      <c r="A26" s="45" t="s">
        <v>32</v>
      </c>
      <c r="B26" s="46">
        <f>SUMIF(支出明细2602[分类],"推广",支出明细2602[支出明细])</f>
        <v>600</v>
      </c>
      <c r="C26" s="47">
        <f>$B$26/$B$4</f>
        <v>0.0148780704927939</v>
      </c>
    </row>
    <row r="27" customHeight="1" spans="1:3">
      <c r="A27" s="50" t="s">
        <v>37</v>
      </c>
      <c r="B27" s="51">
        <f>SUMIF(支出明细2602[分类],"水电",支出明细2602[支出明细])</f>
        <v>2977.41</v>
      </c>
      <c r="C27" s="52">
        <f>$B$27/$B$4</f>
        <v>0.073830193109916</v>
      </c>
    </row>
    <row r="28" customHeight="1" spans="1:3">
      <c r="A28" s="45" t="s">
        <v>14</v>
      </c>
      <c r="B28" s="46">
        <f>SUMIF(支出明细2602[分类],"其他",支出明细2602[支出明细])</f>
        <v>33.6</v>
      </c>
      <c r="C28" s="47">
        <f>$B$28/$B$4</f>
        <v>0.00083317194759646</v>
      </c>
    </row>
    <row r="29" customHeight="1" spans="1:3">
      <c r="A29" s="58" t="s">
        <v>65</v>
      </c>
      <c r="B29" s="59">
        <f>SUM(支出明细2602[支出明细])</f>
        <v>40327.81</v>
      </c>
      <c r="C29" s="60">
        <f>SUM($C$23:$C$28)</f>
        <v>1</v>
      </c>
    </row>
    <row r="32" customHeight="1" spans="1:3">
      <c r="A32" s="61" t="s">
        <v>69</v>
      </c>
      <c r="B32" s="36" t="s">
        <v>4</v>
      </c>
      <c r="C32" s="62" t="s">
        <v>5</v>
      </c>
    </row>
    <row r="33" customHeight="1" spans="1:3">
      <c r="A33" s="63">
        <v>6683.96</v>
      </c>
      <c r="B33" s="36" t="s">
        <v>62</v>
      </c>
      <c r="C33" s="64"/>
    </row>
    <row r="34" customHeight="1" spans="1:3">
      <c r="A34" s="63">
        <v>1861.8</v>
      </c>
      <c r="B34" s="36" t="s">
        <v>63</v>
      </c>
      <c r="C34" s="64"/>
    </row>
    <row r="35" customHeight="1" spans="1:3">
      <c r="A35" s="63">
        <v>0</v>
      </c>
      <c r="B35" s="36" t="s">
        <v>64</v>
      </c>
      <c r="C35" s="64" t="s">
        <v>70</v>
      </c>
    </row>
    <row r="36" customHeight="1" spans="1:3">
      <c r="A36" s="63">
        <v>19919.1</v>
      </c>
      <c r="B36" s="36" t="s">
        <v>60</v>
      </c>
      <c r="C36" s="64"/>
    </row>
    <row r="37" customHeight="1" spans="1:3">
      <c r="A37" s="63">
        <v>13970.88</v>
      </c>
      <c r="B37" s="36" t="s">
        <v>61</v>
      </c>
      <c r="C37" s="64"/>
    </row>
    <row r="40" customHeight="1" spans="1:4">
      <c r="A40" s="65" t="s">
        <v>71</v>
      </c>
      <c r="B40" s="62" t="s">
        <v>4</v>
      </c>
      <c r="C40" s="64" t="s">
        <v>5</v>
      </c>
      <c r="D40" s="4"/>
    </row>
    <row r="41" customHeight="1" spans="1:4">
      <c r="A41" s="65">
        <v>4333</v>
      </c>
      <c r="B41" s="62" t="s">
        <v>6</v>
      </c>
      <c r="C41" s="64" t="s">
        <v>72</v>
      </c>
      <c r="D41" s="4"/>
    </row>
    <row r="42" customHeight="1" spans="1:4">
      <c r="A42" s="65">
        <v>8500</v>
      </c>
      <c r="B42" s="62" t="s">
        <v>68</v>
      </c>
      <c r="C42" s="64" t="s">
        <v>73</v>
      </c>
      <c r="D42" s="4"/>
    </row>
    <row r="43" customHeight="1" spans="1:4">
      <c r="A43" s="65">
        <v>1000</v>
      </c>
      <c r="B43" s="62" t="s">
        <v>25</v>
      </c>
      <c r="C43" s="64" t="s">
        <v>26</v>
      </c>
      <c r="D43" s="4"/>
    </row>
    <row r="44" customHeight="1" spans="1:4">
      <c r="A44" s="65">
        <v>13260</v>
      </c>
      <c r="B44" s="62" t="s">
        <v>25</v>
      </c>
      <c r="C44" s="64" t="s">
        <v>27</v>
      </c>
      <c r="D44" s="4"/>
    </row>
    <row r="45" customHeight="1" spans="1:4">
      <c r="A45" s="65">
        <v>600</v>
      </c>
      <c r="B45" s="62" t="s">
        <v>32</v>
      </c>
      <c r="C45" s="64" t="s">
        <v>34</v>
      </c>
      <c r="D45" s="4"/>
    </row>
    <row r="46" customHeight="1" spans="1:4">
      <c r="A46" s="65">
        <v>938</v>
      </c>
      <c r="B46" s="62" t="s">
        <v>25</v>
      </c>
      <c r="C46" s="64" t="s">
        <v>35</v>
      </c>
      <c r="D46" s="4"/>
    </row>
    <row r="47" customHeight="1" spans="1:4">
      <c r="A47" s="65">
        <v>1000</v>
      </c>
      <c r="B47" s="62" t="s">
        <v>25</v>
      </c>
      <c r="C47" s="64" t="s">
        <v>26</v>
      </c>
      <c r="D47" s="4"/>
    </row>
    <row r="48" customHeight="1" spans="1:4">
      <c r="A48" s="65">
        <v>60.5</v>
      </c>
      <c r="B48" s="62" t="s">
        <v>25</v>
      </c>
      <c r="C48" s="64" t="s">
        <v>36</v>
      </c>
      <c r="D48" s="4"/>
    </row>
    <row r="49" customHeight="1" spans="1:4">
      <c r="A49" s="65">
        <v>162.41</v>
      </c>
      <c r="B49" s="62" t="s">
        <v>37</v>
      </c>
      <c r="C49" s="64" t="s">
        <v>74</v>
      </c>
      <c r="D49" s="4"/>
    </row>
    <row r="50" customHeight="1" spans="1:4">
      <c r="A50" s="65">
        <v>2815</v>
      </c>
      <c r="B50" s="62" t="s">
        <v>37</v>
      </c>
      <c r="C50" s="64" t="s">
        <v>75</v>
      </c>
      <c r="D50" s="4"/>
    </row>
    <row r="51" customHeight="1" spans="1:4">
      <c r="A51" s="65">
        <v>42.16</v>
      </c>
      <c r="B51" s="62" t="s">
        <v>25</v>
      </c>
      <c r="C51" s="64" t="s">
        <v>35</v>
      </c>
      <c r="D51" s="4"/>
    </row>
    <row r="52" customHeight="1" spans="1:4">
      <c r="A52" s="65">
        <v>1000</v>
      </c>
      <c r="B52" s="62" t="s">
        <v>25</v>
      </c>
      <c r="C52" s="64" t="s">
        <v>26</v>
      </c>
      <c r="D52" s="4"/>
    </row>
    <row r="53" customHeight="1" spans="1:4">
      <c r="A53" s="65">
        <v>1300</v>
      </c>
      <c r="B53" s="62" t="s">
        <v>25</v>
      </c>
      <c r="C53" s="64" t="s">
        <v>76</v>
      </c>
      <c r="D53" s="4"/>
    </row>
    <row r="54" customHeight="1" spans="1:4">
      <c r="A54" s="65">
        <v>253.84</v>
      </c>
      <c r="B54" s="62" t="s">
        <v>25</v>
      </c>
      <c r="C54" s="64" t="s">
        <v>36</v>
      </c>
      <c r="D54" s="4"/>
    </row>
    <row r="55" customHeight="1" spans="1:4">
      <c r="A55" s="65">
        <v>1000</v>
      </c>
      <c r="B55" s="62" t="s">
        <v>25</v>
      </c>
      <c r="C55" s="64" t="s">
        <v>26</v>
      </c>
      <c r="D55" s="4"/>
    </row>
    <row r="56" customHeight="1" spans="1:4">
      <c r="A56" s="65">
        <v>355.3</v>
      </c>
      <c r="B56" s="62" t="s">
        <v>25</v>
      </c>
      <c r="C56" s="64" t="s">
        <v>36</v>
      </c>
      <c r="D56" s="4"/>
    </row>
    <row r="57" customHeight="1" spans="1:4">
      <c r="A57" s="65">
        <v>3000</v>
      </c>
      <c r="B57" s="62" t="s">
        <v>25</v>
      </c>
      <c r="C57" s="64" t="s">
        <v>41</v>
      </c>
      <c r="D57" s="4"/>
    </row>
    <row r="58" customHeight="1" spans="1:4">
      <c r="A58" s="65">
        <v>174</v>
      </c>
      <c r="B58" s="62" t="s">
        <v>25</v>
      </c>
      <c r="C58" s="64" t="s">
        <v>36</v>
      </c>
      <c r="D58" s="4"/>
    </row>
    <row r="59" customHeight="1" spans="1:4">
      <c r="A59" s="65">
        <v>33.6</v>
      </c>
      <c r="B59" s="62" t="s">
        <v>14</v>
      </c>
      <c r="C59" s="64" t="s">
        <v>42</v>
      </c>
      <c r="D59" s="4"/>
    </row>
    <row r="60" customHeight="1" spans="1:4">
      <c r="A60" s="65">
        <v>500</v>
      </c>
      <c r="B60" s="62" t="s">
        <v>25</v>
      </c>
      <c r="C60" s="64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4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4"/>
      <c r="B40" s="30"/>
      <c r="C40" s="31"/>
    </row>
    <row r="41" customHeight="1" spans="1:3">
      <c r="A41" s="35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abSelected="1" topLeftCell="A6" workbookViewId="0">
      <selection activeCell="B3" sqref="B3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50203.65</v>
      </c>
      <c r="C3" s="6" t="s">
        <v>49</v>
      </c>
    </row>
    <row r="4" customHeight="1" spans="1:3">
      <c r="A4" s="8" t="s">
        <v>50</v>
      </c>
      <c r="B4" s="9">
        <f>SUM(支出明细2604[支出明细])</f>
        <v>50053.93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22373.8</v>
      </c>
      <c r="C5" s="10" t="s">
        <v>49</v>
      </c>
    </row>
    <row r="6" customHeight="1" spans="1:3">
      <c r="A6" s="10" t="s">
        <v>52</v>
      </c>
      <c r="B6" s="11">
        <f>$B$3-$B$4</f>
        <v>149.720000000008</v>
      </c>
      <c r="C6" s="10" t="s">
        <v>49</v>
      </c>
    </row>
    <row r="7" customHeight="1" spans="1:3">
      <c r="A7" s="10" t="s">
        <v>53</v>
      </c>
      <c r="B7" s="12">
        <f>$B$5/$B$3</f>
        <v>0.445660823466023</v>
      </c>
      <c r="C7" s="10" t="s">
        <v>54</v>
      </c>
    </row>
    <row r="8" customHeight="1" spans="1:3">
      <c r="A8" s="10" t="s">
        <v>55</v>
      </c>
      <c r="B8" s="12">
        <f>$B$6/$B$3</f>
        <v>0.00298225328238103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15606.7</v>
      </c>
      <c r="C13" s="12">
        <f>$B$13/$B$3</f>
        <v>0.310867835306795</v>
      </c>
    </row>
    <row r="14" customHeight="1" spans="1:3">
      <c r="A14" s="10" t="s">
        <v>61</v>
      </c>
      <c r="B14" s="11">
        <f>SUMIF(收入明细2604[分类],"美团外卖",收入明细2604[收入明细])</f>
        <v>18332.47</v>
      </c>
      <c r="C14" s="12">
        <f>$B$14/$B$3</f>
        <v>0.365162094787929</v>
      </c>
    </row>
    <row r="15" customHeight="1" spans="1:3">
      <c r="A15" s="10" t="s">
        <v>62</v>
      </c>
      <c r="B15" s="11">
        <f>SUMIF(收入明细2604[分类],"微信堂食",收入明细2604[收入明细])</f>
        <v>7919.04</v>
      </c>
      <c r="C15" s="12">
        <f>$B$15/$B$3</f>
        <v>0.157738331774682</v>
      </c>
    </row>
    <row r="16" customHeight="1" spans="1:3">
      <c r="A16" s="10" t="s">
        <v>63</v>
      </c>
      <c r="B16" s="11">
        <f>SUMIF(收入明细2604[分类],"支付宝堂食",收入明细2604[收入明细])</f>
        <v>2219.54</v>
      </c>
      <c r="C16" s="12">
        <f>$B$16/$B$3</f>
        <v>0.0442107296979403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0.12167143225642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0.000349576176234198</v>
      </c>
    </row>
    <row r="19" customHeight="1" spans="1:3">
      <c r="A19" s="16" t="s">
        <v>65</v>
      </c>
      <c r="B19" s="17">
        <f>SUM(B13:B17)</f>
        <v>50186.1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0.555997301310806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0.239741414909878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0.0865666292337085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3500</v>
      </c>
      <c r="C28" s="12">
        <f>$B$28/$B$4</f>
        <v>0.0699245793487145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0.0477700751968926</v>
      </c>
    </row>
    <row r="30" customHeight="1" spans="1:3">
      <c r="A30" s="23" t="s">
        <v>65</v>
      </c>
      <c r="B30" s="24">
        <f>SUM(B24:B29)</f>
        <v>50053.93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7671.88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2219.54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15606.7</v>
      </c>
      <c r="B38" s="27" t="s">
        <v>60</v>
      </c>
      <c r="C38" s="28"/>
    </row>
    <row r="39" customHeight="1" spans="1:3">
      <c r="A39" s="29">
        <v>18332.47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138</v>
      </c>
    </row>
    <row r="46" customHeight="1" spans="1:3">
      <c r="A46" s="26">
        <v>3500</v>
      </c>
      <c r="B46" s="28" t="s">
        <v>37</v>
      </c>
      <c r="C46" s="28" t="s">
        <v>138</v>
      </c>
    </row>
    <row r="47" customHeight="1" spans="1:3">
      <c r="A47" s="26">
        <v>4000</v>
      </c>
      <c r="B47" s="28" t="s">
        <v>25</v>
      </c>
      <c r="C47" s="28" t="s">
        <v>139</v>
      </c>
    </row>
    <row r="48" customHeight="1" spans="1:3">
      <c r="A48" s="26">
        <v>397.58</v>
      </c>
      <c r="B48" s="27" t="s">
        <v>25</v>
      </c>
      <c r="C48" s="28" t="s">
        <v>140</v>
      </c>
    </row>
    <row r="49" customHeight="1" spans="1:3">
      <c r="A49" s="26">
        <v>2521.87</v>
      </c>
      <c r="B49" s="27" t="s">
        <v>25</v>
      </c>
      <c r="C49" s="28" t="s">
        <v>141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142</v>
      </c>
    </row>
    <row r="52" customHeight="1" spans="1:3">
      <c r="A52" s="26">
        <v>83.64</v>
      </c>
      <c r="B52" s="2" t="s">
        <v>25</v>
      </c>
      <c r="C52" s="2" t="s">
        <v>143</v>
      </c>
    </row>
    <row r="53" customHeight="1" spans="1:3">
      <c r="A53" s="26">
        <v>280</v>
      </c>
      <c r="B53" s="2" t="s">
        <v>25</v>
      </c>
      <c r="C53" s="2" t="s">
        <v>144</v>
      </c>
    </row>
    <row r="54" customHeight="1" spans="1:3">
      <c r="A54" s="26">
        <v>50</v>
      </c>
      <c r="B54" s="2" t="s">
        <v>14</v>
      </c>
      <c r="C54" s="2" t="s">
        <v>145</v>
      </c>
    </row>
    <row r="55" customHeight="1" spans="1:3">
      <c r="A55" s="26">
        <v>618</v>
      </c>
      <c r="B55" s="2" t="s">
        <v>25</v>
      </c>
      <c r="C55" s="2" t="s">
        <v>146</v>
      </c>
    </row>
    <row r="56" customHeight="1" spans="1:3">
      <c r="A56" s="26">
        <v>8092</v>
      </c>
      <c r="B56" s="2" t="s">
        <v>25</v>
      </c>
      <c r="C56" s="2" t="s">
        <v>147</v>
      </c>
    </row>
    <row r="57" customHeight="1" spans="1:3">
      <c r="A57" s="26">
        <v>1379</v>
      </c>
      <c r="B57" s="2" t="s">
        <v>25</v>
      </c>
      <c r="C57" s="2" t="s">
        <v>148</v>
      </c>
    </row>
    <row r="58" customHeight="1" spans="1:3">
      <c r="A58" s="26">
        <v>150</v>
      </c>
      <c r="B58" s="2" t="s">
        <v>14</v>
      </c>
      <c r="C58" s="2" t="s">
        <v>149</v>
      </c>
    </row>
    <row r="59" customHeight="1" spans="1:3">
      <c r="A59" s="26">
        <v>700</v>
      </c>
      <c r="B59" s="2" t="s">
        <v>14</v>
      </c>
      <c r="C59" s="2" t="s">
        <v>150</v>
      </c>
    </row>
    <row r="60" customHeight="1" spans="1:3">
      <c r="A60" s="26">
        <v>350</v>
      </c>
      <c r="B60" s="2" t="s">
        <v>25</v>
      </c>
      <c r="C60" s="2" t="s">
        <v>151</v>
      </c>
    </row>
    <row r="61" customHeight="1" spans="1:3">
      <c r="A61" s="26">
        <v>381</v>
      </c>
      <c r="B61" s="2" t="s">
        <v>25</v>
      </c>
      <c r="C61" s="2" t="s">
        <v>152</v>
      </c>
    </row>
    <row r="62" customHeight="1" spans="1:3">
      <c r="A62" s="26">
        <v>16.08</v>
      </c>
      <c r="B62" s="2" t="s">
        <v>14</v>
      </c>
      <c r="C62" s="2" t="s">
        <v>153</v>
      </c>
    </row>
    <row r="63" customHeight="1" spans="1:3">
      <c r="A63" s="26">
        <v>396</v>
      </c>
      <c r="B63" s="2" t="s">
        <v>25</v>
      </c>
      <c r="C63" s="2" t="s">
        <v>154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155</v>
      </c>
    </row>
    <row r="66" customHeight="1" spans="1:3">
      <c r="A66" s="26">
        <v>80</v>
      </c>
      <c r="B66" s="2" t="s">
        <v>25</v>
      </c>
      <c r="C66" s="2" t="s">
        <v>156</v>
      </c>
    </row>
    <row r="67" customHeight="1" spans="1:3">
      <c r="A67" s="26">
        <v>912</v>
      </c>
      <c r="B67" s="2" t="s">
        <v>25</v>
      </c>
      <c r="C67" s="2" t="s">
        <v>157</v>
      </c>
    </row>
    <row r="68" customHeight="1" spans="1:3">
      <c r="A68" s="26">
        <v>6783</v>
      </c>
      <c r="B68" s="2" t="s">
        <v>25</v>
      </c>
      <c r="C68" s="2" t="s">
        <v>158</v>
      </c>
    </row>
    <row r="69" customHeight="1" spans="1:3">
      <c r="A69" s="26">
        <v>265.6</v>
      </c>
      <c r="B69" s="2" t="s">
        <v>25</v>
      </c>
      <c r="C69" s="33" t="s">
        <v>159</v>
      </c>
    </row>
    <row r="70" customHeight="1" spans="1:3">
      <c r="A70" s="26">
        <v>1275</v>
      </c>
      <c r="B70" s="2" t="s">
        <v>14</v>
      </c>
      <c r="C70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0"/>
  <sheetViews>
    <sheetView topLeftCell="A31" workbookViewId="0">
      <selection activeCell="C50" sqref="C50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0</v>
      </c>
      <c r="C3" s="6" t="s">
        <v>49</v>
      </c>
    </row>
    <row r="4" customHeight="1" spans="1:3">
      <c r="A4" s="8" t="s">
        <v>50</v>
      </c>
      <c r="B4" s="9">
        <f>SUM(支出明细26049[支出明细])</f>
        <v>25002.92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-4194.92</v>
      </c>
      <c r="C5" s="10" t="s">
        <v>49</v>
      </c>
    </row>
    <row r="6" customHeight="1" spans="1:3">
      <c r="A6" s="10" t="s">
        <v>52</v>
      </c>
      <c r="B6" s="11">
        <f>$B$3-$B$4</f>
        <v>-25002.92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SUMIF(收入明细260410[分类],"美团外卖",收入明细260410[收入明细])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SUMIF(收入明细260410[分类],"微信堂食",收入明细260410[收入明细])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SUMIF(收入明细260410[分类],"支付宝堂食",收入明细260410[收入明细])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SUMIF(收入明细260410[分类],"京东外卖",收入明细260410[收入明细])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SUMIF(支出明细26049[分类],"食材",支出明细26049[支出明细])</f>
        <v>4194.92</v>
      </c>
      <c r="C23" s="12">
        <f>$B$23/$B$4</f>
        <v>0.167777203622617</v>
      </c>
    </row>
    <row r="24" customHeight="1" spans="1:3">
      <c r="A24" s="10" t="s">
        <v>68</v>
      </c>
      <c r="B24" s="11">
        <f>SUMIF(支出明细26049[分类],"工资",支出明细26049[支出明细])</f>
        <v>12000</v>
      </c>
      <c r="C24" s="12">
        <f>$B$24/$B$4</f>
        <v>0.47994394254751</v>
      </c>
    </row>
    <row r="25" customHeight="1" spans="1:3">
      <c r="A25" s="10" t="s">
        <v>6</v>
      </c>
      <c r="B25" s="11">
        <f>SUMIF(支出明细26049[分类],"房租",支出明细26049[支出明细])</f>
        <v>4333</v>
      </c>
      <c r="C25" s="12">
        <f>$B$25/$B$4</f>
        <v>0.173299758588197</v>
      </c>
    </row>
    <row r="26" customHeight="1" spans="1:3">
      <c r="A26" s="10" t="s">
        <v>32</v>
      </c>
      <c r="B26" s="11">
        <f>SUMIF(支出明细26049[分类],"推广",支出明细26049[支出明细])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SUMIF(支出明细26049[分类],"水电",支出明细26049[支出明细])</f>
        <v>3000</v>
      </c>
      <c r="C27" s="12">
        <f>$B$27/$B$4</f>
        <v>0.119985985636878</v>
      </c>
    </row>
    <row r="28" customHeight="1" spans="1:3">
      <c r="A28" s="10" t="s">
        <v>14</v>
      </c>
      <c r="B28" s="11">
        <f>SUMIF(支出明细26049[分类],"其他",支出明细26049[支出明细])</f>
        <v>1475</v>
      </c>
      <c r="C28" s="12">
        <f>$B$28/$B$4</f>
        <v>0.0589931096047982</v>
      </c>
    </row>
    <row r="29" customHeight="1" spans="1:3">
      <c r="A29" s="23" t="s">
        <v>65</v>
      </c>
      <c r="B29" s="24">
        <f>SUM(B23:B28)</f>
        <v>25002.92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161</v>
      </c>
      <c r="C33" s="28"/>
    </row>
    <row r="34" customHeight="1" spans="1:3">
      <c r="A34" s="29">
        <v>0</v>
      </c>
      <c r="B34" s="27" t="s">
        <v>162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hidden="1" customHeight="1" spans="1:3">
      <c r="A42" s="26">
        <v>4333</v>
      </c>
      <c r="B42" s="28" t="s">
        <v>6</v>
      </c>
      <c r="C42" s="28" t="s">
        <v>72</v>
      </c>
    </row>
    <row r="43" hidden="1" customHeight="1" spans="1:3">
      <c r="A43" s="26">
        <v>12000</v>
      </c>
      <c r="B43" s="28" t="s">
        <v>68</v>
      </c>
      <c r="C43" s="28" t="s">
        <v>138</v>
      </c>
    </row>
    <row r="44" hidden="1" customHeight="1" spans="1:3">
      <c r="A44" s="26">
        <v>3000</v>
      </c>
      <c r="B44" s="28" t="s">
        <v>37</v>
      </c>
      <c r="C44" s="28" t="s">
        <v>138</v>
      </c>
    </row>
    <row r="45" customHeight="1" spans="1:3">
      <c r="A45" s="26">
        <v>2000</v>
      </c>
      <c r="B45" s="27" t="s">
        <v>25</v>
      </c>
      <c r="C45" s="28" t="s">
        <v>163</v>
      </c>
    </row>
    <row r="46" customHeight="1" spans="1:3">
      <c r="A46" s="26">
        <v>915</v>
      </c>
      <c r="B46" s="2" t="s">
        <v>25</v>
      </c>
      <c r="C46" s="33" t="s">
        <v>164</v>
      </c>
    </row>
    <row r="47" customHeight="1" spans="1:3">
      <c r="A47" s="26">
        <v>601.92</v>
      </c>
      <c r="B47" s="2" t="s">
        <v>25</v>
      </c>
      <c r="C47" s="33" t="s">
        <v>112</v>
      </c>
    </row>
    <row r="48" hidden="1" customHeight="1" spans="1:3">
      <c r="A48" s="26">
        <v>1275</v>
      </c>
      <c r="B48" s="2" t="s">
        <v>14</v>
      </c>
      <c r="C48" s="33" t="s">
        <v>160</v>
      </c>
    </row>
    <row r="49" customHeight="1" spans="1:3">
      <c r="A49" s="26">
        <v>200</v>
      </c>
      <c r="B49" s="2" t="s">
        <v>14</v>
      </c>
      <c r="C49" s="2" t="s">
        <v>145</v>
      </c>
    </row>
    <row r="50" customHeight="1" spans="1:3">
      <c r="A50" s="26">
        <v>678</v>
      </c>
      <c r="B50" s="2" t="s">
        <v>25</v>
      </c>
      <c r="C50" s="2" t="s">
        <v>165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8 B49 B50 B2:B7 B42:B45 B46:B47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开店成本清单</vt:lpstr>
      <vt:lpstr>2026-02流水</vt:lpstr>
      <vt:lpstr>2026-03流水</vt:lpstr>
      <vt:lpstr>2026-04流水</vt:lpstr>
      <vt:lpstr>2026-05流水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2026-02-28T19:28:00Z</dcterms:created>
  <dcterms:modified xsi:type="dcterms:W3CDTF">2026-04-30T22:11:39Z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