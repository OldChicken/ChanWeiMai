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3F7454B4-CAA7-4E6C-8EC0-8FEDDF04BB02}" xr6:coauthVersionLast="47" xr6:coauthVersionMax="47" xr10:uidLastSave="{00000000-0000-0000-0000-000000000000}"/>
  <bookViews>
    <workbookView xWindow="11115" yWindow="1755" windowWidth="35070" windowHeight="19335" xr2:uid="{00000000-000D-0000-FFFF-FFFF00000000}"/>
  </bookViews>
  <sheets>
    <sheet name="开店成本清单" sheetId="1" r:id="rId1"/>
    <sheet name="流水-202602" sheetId="2" r:id="rId2"/>
  </sheets>
  <calcPr calcId="191029"/>
</workbook>
</file>

<file path=xl/calcChain.xml><?xml version="1.0" encoding="utf-8"?>
<calcChain xmlns="http://schemas.openxmlformats.org/spreadsheetml/2006/main">
  <c r="B23" i="2" l="1"/>
  <c r="B24" i="2"/>
  <c r="C2" i="1"/>
  <c r="C3" i="1" s="1"/>
</calcChain>
</file>

<file path=xl/sharedStrings.xml><?xml version="1.0" encoding="utf-8"?>
<sst xmlns="http://schemas.openxmlformats.org/spreadsheetml/2006/main" count="100" uniqueCount="59">
  <si>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</si>
  <si>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</si>
  <si>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</si>
  <si>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</si>
  <si>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</si>
  <si>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</si>
  <si>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</si>
  <si>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</si>
  <si>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</si>
  <si>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</si>
  <si>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</si>
  <si>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</si>
  <si>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</si>
  <si>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</si>
  <si>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</si>
  <si>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</si>
  <si>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</si>
  <si>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</si>
  <si>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</si>
  <si>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</si>
  <si>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</si>
  <si>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</si>
  <si>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</si>
  <si>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</si>
  <si>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</si>
  <si>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</si>
  <si>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开店首批食材</t>
  </si>
  <si>
    <t>扫码点餐物料</t>
  </si>
  <si>
    <t>装修尾款</t>
  </si>
  <si>
    <t>外卖店铺装修</t>
  </si>
  <si>
    <t>外卖首日刷单</t>
  </si>
  <si>
    <t>推广</t>
  </si>
  <si>
    <t>淘宝300+美团300，首充</t>
  </si>
  <si>
    <t>包装盒补货</t>
  </si>
  <si>
    <t>快驴充值</t>
  </si>
  <si>
    <t>水电</t>
  </si>
  <si>
    <t>一月电费</t>
  </si>
  <si>
    <t>成本明细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</si>
  <si>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</si>
  <si>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</si>
  <si>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</si>
  <si>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</si>
  <si>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</si>
  <si>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</si>
  <si>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</si>
  <si>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</si>
  <si>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</si>
  <si>
    <t>食材</t>
    <phoneticPr fontId="2" type="noConversion"/>
  </si>
  <si>
    <t>包装盒补货</t>
    <phoneticPr fontId="2" type="noConversion"/>
  </si>
  <si>
    <t>水电</t>
    <phoneticPr fontId="2" type="noConversion"/>
  </si>
  <si>
    <t>其他</t>
    <phoneticPr fontId="2" type="noConversion"/>
  </si>
  <si>
    <t>员工工作服</t>
    <phoneticPr fontId="2" type="noConversion"/>
  </si>
  <si>
    <t>快驴充值</t>
    <phoneticPr fontId="2" type="noConversion"/>
  </si>
  <si>
    <t>房租</t>
    <phoneticPr fontId="2" type="noConversion"/>
  </si>
  <si>
    <t>月租金</t>
    <phoneticPr fontId="2" type="noConversion"/>
  </si>
  <si>
    <t>工资</t>
    <phoneticPr fontId="2" type="noConversion"/>
  </si>
  <si>
    <t>2员工工资</t>
    <phoneticPr fontId="2" type="noConversion"/>
  </si>
  <si>
    <t>一月电费</t>
    <phoneticPr fontId="2" type="noConversion"/>
  </si>
  <si>
    <t>推广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</si>
</sst>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0_);[Red]\(0.00\)"/>
    <numFmt numFmtId="180" formatCode="#,##0.00_ "/>
  </numFmts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3" fontId="0" fillId="0" borderId="0" xfId="0" applyNumberForma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179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1" fillId="0" borderId="0" xfId="0" applyFont="1" applyAlignment="1"/>
    <xf numFmtId="179" fontId="1" fillId="0" borderId="0" xfId="0" applyNumberFormat="1" applyFont="1"/>
    <xf numFmtId="180" fontId="1" fillId="0" borderId="0" xfId="0" applyNumberFormat="1" applyFont="1" applyAlignment="1">
      <alignment horizontal="left"/>
    </xf>
  </cellXfs>
  <cellStyles count="1">
    <cellStyle name="常规" xfId="0" builtinId="0"/>
  </cellStyles>
  <dxfs count="15"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alignment horizontal="general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79" formatCode="0.00_);[Red]\(0.00\)"/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4" formatCode="#,##0.00"/>
      <alignment horizontal="lef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4" formatCode="#,##0.00"/>
      <alignment horizontal="left"/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79" formatCode="0.00_);[Red]\(0.00\)"/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</dxf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80" formatCode="#,##0.00_ 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34" totalsRowShown="0" headerRowDxfId="4" dataDxfId="3">
  <autoFilter ref="A5:C34" xr:uid="{00000000-0009-0000-0100-000001000000}"/>
  <tableColumns count="3">
    <tableColumn id="1" xr3:uid="{00000000-0010-0000-0000-000001000000}" name="金额(元)" dataDxfId="2"/>
    <tableColumn id="2" xr3:uid="{00000000-0010-0000-0000-000002000000}" name="分类" dataDxfId="1"/>
    <tableColumn id="3" xr3:uid="{00000000-0010-0000-0000-000003000000}" name="说明" dataDxfId="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营业额明细表" displayName="营业额明细表" ref="A16:C20" totalsRowShown="0" headerRowDxfId="11" dataDxfId="10">
  <autoFilter ref="A16:C20" xr:uid="{00000000-0009-0000-0100-000002000000}"/>
  <tableColumns count="3">
    <tableColumn id="1" xr3:uid="{00000000-0010-0000-0100-000001000000}" name="营业额明细" dataDxfId="14"/>
    <tableColumn id="2" xr3:uid="{00000000-0010-0000-0100-000002000000}" name="分类" dataDxfId="13"/>
    <tableColumn id="3" xr3:uid="{00000000-0010-0000-0100-000003000000}" name="说明" dataDxfId="1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成本明细表" displayName="成本明细表" ref="A1:C12" totalsRowShown="0" headerRowDxfId="5" dataDxfId="6">
  <autoFilter ref="A1:C12" xr:uid="{00000000-0009-0000-0100-000003000000}"/>
  <tableColumns count="3">
    <tableColumn id="2" xr3:uid="{00000000-0010-0000-0200-000002000000}" name="成本明细" dataDxfId="9"/>
    <tableColumn id="4" xr3:uid="{00000000-0010-0000-0200-000004000000}" name="分类" dataDxfId="8"/>
    <tableColumn id="1" xr3:uid="{BF2C5FDB-CBAE-41B2-9F25-24886FA176F5}" name="说明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43"/>
  <sheetViews>
    <sheetView tabSelected="1" workbookViewId="0">
      <selection activeCell="B6" sqref="B6"/>
    </sheetView>
  </sheetViews>
  <sheetFormatPr defaultColWidth="9" defaultRowHeight="13.5" x14ac:dyDescent="0.15"/>
  <cols>
    <col min="1" max="1" width="23.75" style="1" customWidth="1"/>
    <col min="2" max="2" width="20.375" customWidth="1"/>
    <col min="3" max="3" width="37.25" style="2" customWidth="1"/>
  </cols>
  <sheetData>
    <row r="1" spans="1:6" ht="15" customHeight="1" x14ac:dyDescent="0.15">
      <c r="A1" s="6" t="s">
        <v>0</v>
      </c>
      <c r="B1" s="3"/>
      <c r="C1" s="7">
        <v>100000</v>
      </c>
      <c r="D1" s="3"/>
      <c r="E1" s="3"/>
      <c r="F1" s="3"/>
    </row>
    <row r="2" spans="1:6" ht="15" customHeight="1" x14ac:dyDescent="0.15">
      <c r="A2" s="6" t="s">
        <v>1</v>
      </c>
      <c r="B2" s="3"/>
      <c r="C2" s="8">
        <f>SUM(成本明细[金额(元)])</f>
        <v>92744.550000000017</v>
      </c>
      <c r="D2" s="3"/>
      <c r="E2" s="3"/>
      <c r="F2" s="3"/>
    </row>
    <row r="3" spans="1:6" ht="15" customHeight="1" x14ac:dyDescent="0.15">
      <c r="A3" s="6" t="s">
        <v>2</v>
      </c>
      <c r="B3" s="3"/>
      <c r="C3" s="8">
        <f>C1-C2</f>
        <v>7255.4499999999825</v>
      </c>
      <c r="D3" s="3"/>
      <c r="E3" s="3"/>
      <c r="F3" s="3"/>
    </row>
    <row r="4" spans="1:6" ht="15" customHeight="1" x14ac:dyDescent="0.15">
      <c r="A4" s="6"/>
      <c r="B4" s="3"/>
      <c r="C4" s="4"/>
      <c r="D4" s="3"/>
      <c r="E4" s="3"/>
      <c r="F4" s="3"/>
    </row>
    <row r="5" spans="1:6" ht="15" customHeight="1" x14ac:dyDescent="0.15">
      <c r="A5" s="6" t="s">
        <v>3</v>
      </c>
      <c r="B5" s="9" t="s">
        <v>4</v>
      </c>
      <c r="C5" s="10" t="s">
        <v>5</v>
      </c>
      <c r="D5" s="3"/>
      <c r="E5" s="3"/>
      <c r="F5" s="3"/>
    </row>
    <row r="6" spans="1:6" ht="15" customHeight="1" x14ac:dyDescent="0.15">
      <c r="A6" s="5">
        <v>10000</v>
      </c>
      <c r="B6" s="11" t="s">
        <v>6</v>
      </c>
      <c r="C6" s="10" t="s">
        <v>7</v>
      </c>
      <c r="D6" s="3"/>
      <c r="E6" s="3"/>
      <c r="F6" s="3"/>
    </row>
    <row r="7" spans="1:6" ht="15" customHeight="1" x14ac:dyDescent="0.15">
      <c r="A7" s="5">
        <v>26000</v>
      </c>
      <c r="B7" s="11" t="s">
        <v>53</v>
      </c>
      <c r="C7" s="10" t="s">
        <v>8</v>
      </c>
      <c r="D7" s="3"/>
      <c r="E7" s="3"/>
      <c r="F7" s="3"/>
    </row>
    <row r="8" spans="1:6" ht="15" customHeight="1" x14ac:dyDescent="0.15">
      <c r="A8" s="5">
        <v>6000</v>
      </c>
      <c r="B8" s="11" t="s">
        <v>9</v>
      </c>
      <c r="C8" s="10" t="s">
        <v>10</v>
      </c>
      <c r="D8" s="3"/>
      <c r="E8" s="3"/>
      <c r="F8" s="3"/>
    </row>
    <row r="9" spans="1:6" ht="15" customHeight="1" x14ac:dyDescent="0.15">
      <c r="A9" s="5">
        <v>3000</v>
      </c>
      <c r="B9" s="11" t="s">
        <v>9</v>
      </c>
      <c r="C9" s="10" t="s">
        <v>11</v>
      </c>
      <c r="D9" s="3"/>
      <c r="E9" s="3"/>
      <c r="F9" s="3"/>
    </row>
    <row r="10" spans="1:6" ht="15" customHeight="1" x14ac:dyDescent="0.15">
      <c r="A10" s="5">
        <v>2100</v>
      </c>
      <c r="B10" s="11" t="s">
        <v>9</v>
      </c>
      <c r="C10" s="10" t="s">
        <v>12</v>
      </c>
      <c r="D10" s="3"/>
      <c r="E10" s="3"/>
      <c r="F10" s="3"/>
    </row>
    <row r="11" spans="1:6" ht="15" customHeight="1" x14ac:dyDescent="0.15">
      <c r="A11" s="5">
        <v>340</v>
      </c>
      <c r="B11" s="11" t="s">
        <v>9</v>
      </c>
      <c r="C11" s="10" t="s">
        <v>13</v>
      </c>
      <c r="D11" s="3"/>
      <c r="E11" s="3"/>
      <c r="F11" s="3"/>
    </row>
    <row r="12" spans="1:6" ht="15" customHeight="1" x14ac:dyDescent="0.15">
      <c r="A12" s="5">
        <v>200</v>
      </c>
      <c r="B12" s="11" t="s">
        <v>14</v>
      </c>
      <c r="C12" s="10" t="s">
        <v>15</v>
      </c>
      <c r="D12" s="3"/>
      <c r="E12" s="3"/>
      <c r="F12" s="3"/>
    </row>
    <row r="13" spans="1:6" ht="15" customHeight="1" x14ac:dyDescent="0.15">
      <c r="A13" s="5">
        <v>11000</v>
      </c>
      <c r="B13" s="11" t="s">
        <v>16</v>
      </c>
      <c r="C13" s="10" t="s">
        <v>17</v>
      </c>
      <c r="D13" s="3"/>
      <c r="E13" s="3"/>
      <c r="F13" s="3"/>
    </row>
    <row r="14" spans="1:6" ht="15" customHeight="1" x14ac:dyDescent="0.15">
      <c r="A14" s="5">
        <v>5000</v>
      </c>
      <c r="B14" s="11" t="s">
        <v>9</v>
      </c>
      <c r="C14" s="10" t="s">
        <v>18</v>
      </c>
      <c r="D14" s="3"/>
      <c r="E14" s="3"/>
      <c r="F14" s="3"/>
    </row>
    <row r="15" spans="1:6" ht="15" customHeight="1" x14ac:dyDescent="0.15">
      <c r="A15" s="5">
        <v>755</v>
      </c>
      <c r="B15" s="11" t="s">
        <v>16</v>
      </c>
      <c r="C15" s="10" t="s">
        <v>19</v>
      </c>
      <c r="D15" s="3"/>
      <c r="E15" s="3"/>
      <c r="F15" s="3"/>
    </row>
    <row r="16" spans="1:6" ht="15" customHeight="1" x14ac:dyDescent="0.15">
      <c r="A16" s="5">
        <v>190</v>
      </c>
      <c r="B16" s="11" t="s">
        <v>9</v>
      </c>
      <c r="C16" s="10" t="s">
        <v>20</v>
      </c>
      <c r="D16" s="3"/>
      <c r="E16" s="3"/>
      <c r="F16" s="3"/>
    </row>
    <row r="17" spans="1:6" ht="15" customHeight="1" x14ac:dyDescent="0.15">
      <c r="A17" s="5">
        <v>405.9</v>
      </c>
      <c r="B17" s="11" t="s">
        <v>16</v>
      </c>
      <c r="C17" s="10" t="s">
        <v>21</v>
      </c>
      <c r="D17" s="3"/>
      <c r="E17" s="3"/>
      <c r="F17" s="3"/>
    </row>
    <row r="18" spans="1:6" ht="15" customHeight="1" x14ac:dyDescent="0.15">
      <c r="A18" s="5">
        <v>228</v>
      </c>
      <c r="B18" s="11" t="s">
        <v>16</v>
      </c>
      <c r="C18" s="10" t="s">
        <v>22</v>
      </c>
      <c r="D18" s="3"/>
      <c r="E18" s="3"/>
      <c r="F18" s="3"/>
    </row>
    <row r="19" spans="1:6" ht="15" customHeight="1" x14ac:dyDescent="0.15">
      <c r="A19" s="5">
        <v>639.5</v>
      </c>
      <c r="B19" s="11" t="s">
        <v>16</v>
      </c>
      <c r="C19" s="10" t="s">
        <v>23</v>
      </c>
      <c r="D19" s="3"/>
      <c r="E19" s="3"/>
      <c r="F19" s="3"/>
    </row>
    <row r="20" spans="1:6" ht="15" customHeight="1" x14ac:dyDescent="0.15">
      <c r="A20" s="5">
        <v>1259.0999999999999</v>
      </c>
      <c r="B20" s="11" t="s">
        <v>16</v>
      </c>
      <c r="C20" s="10" t="s">
        <v>24</v>
      </c>
      <c r="D20" s="3"/>
      <c r="E20" s="3"/>
      <c r="F20" s="3"/>
    </row>
    <row r="21" spans="1:6" ht="15" customHeight="1" x14ac:dyDescent="0.15">
      <c r="A21" s="5">
        <v>1000</v>
      </c>
      <c r="B21" s="11" t="s">
        <v>25</v>
      </c>
      <c r="C21" s="4" t="s">
        <v>52</v>
      </c>
      <c r="D21" s="3"/>
      <c r="E21" s="3"/>
      <c r="F21" s="3"/>
    </row>
    <row r="22" spans="1:6" ht="15" customHeight="1" x14ac:dyDescent="0.15">
      <c r="A22" s="5">
        <v>13260</v>
      </c>
      <c r="B22" s="11" t="s">
        <v>25</v>
      </c>
      <c r="C22" s="10" t="s">
        <v>26</v>
      </c>
      <c r="D22" s="3"/>
      <c r="E22" s="3"/>
      <c r="F22" s="3"/>
    </row>
    <row r="23" spans="1:6" ht="15" customHeight="1" x14ac:dyDescent="0.15">
      <c r="A23" s="5">
        <v>47.97</v>
      </c>
      <c r="B23" s="11" t="s">
        <v>50</v>
      </c>
      <c r="C23" s="10" t="s">
        <v>51</v>
      </c>
      <c r="D23" s="3"/>
      <c r="E23" s="3"/>
      <c r="F23" s="3"/>
    </row>
    <row r="24" spans="1:6" ht="15" customHeight="1" x14ac:dyDescent="0.15">
      <c r="A24" s="5">
        <v>276.10000000000002</v>
      </c>
      <c r="B24" s="11" t="s">
        <v>14</v>
      </c>
      <c r="C24" s="10" t="s">
        <v>27</v>
      </c>
      <c r="D24" s="3"/>
      <c r="E24" s="3"/>
      <c r="F24" s="3"/>
    </row>
    <row r="25" spans="1:6" ht="15" customHeight="1" x14ac:dyDescent="0.15">
      <c r="A25" s="5">
        <v>6000</v>
      </c>
      <c r="B25" s="11" t="s">
        <v>9</v>
      </c>
      <c r="C25" s="4" t="s">
        <v>28</v>
      </c>
      <c r="D25" s="3"/>
      <c r="E25" s="3"/>
      <c r="F25" s="3"/>
    </row>
    <row r="26" spans="1:6" ht="15" customHeight="1" x14ac:dyDescent="0.15">
      <c r="A26" s="5">
        <v>640</v>
      </c>
      <c r="B26" s="11" t="s">
        <v>9</v>
      </c>
      <c r="C26" s="4" t="s">
        <v>29</v>
      </c>
      <c r="D26" s="3"/>
      <c r="E26" s="3"/>
      <c r="F26" s="3"/>
    </row>
    <row r="27" spans="1:6" ht="15" customHeight="1" x14ac:dyDescent="0.15">
      <c r="A27" s="5">
        <v>500</v>
      </c>
      <c r="B27" s="11" t="s">
        <v>58</v>
      </c>
      <c r="C27" s="4" t="s">
        <v>30</v>
      </c>
      <c r="D27" s="3"/>
      <c r="E27" s="3"/>
      <c r="F27" s="3"/>
    </row>
    <row r="28" spans="1:6" ht="15" customHeight="1" x14ac:dyDescent="0.15">
      <c r="A28" s="5">
        <v>600</v>
      </c>
      <c r="B28" s="11" t="s">
        <v>31</v>
      </c>
      <c r="C28" s="4" t="s">
        <v>32</v>
      </c>
      <c r="D28" s="3"/>
      <c r="E28" s="3"/>
      <c r="F28" s="3"/>
    </row>
    <row r="29" spans="1:6" ht="15" customHeight="1" x14ac:dyDescent="0.15">
      <c r="A29" s="5">
        <v>938</v>
      </c>
      <c r="B29" s="11" t="s">
        <v>47</v>
      </c>
      <c r="C29" s="4" t="s">
        <v>48</v>
      </c>
      <c r="D29" s="3"/>
      <c r="E29" s="3"/>
      <c r="F29" s="3"/>
    </row>
    <row r="30" spans="1:6" ht="15" customHeight="1" x14ac:dyDescent="0.15">
      <c r="A30" s="5">
        <v>1000</v>
      </c>
      <c r="B30" s="11" t="s">
        <v>47</v>
      </c>
      <c r="C30" s="4" t="s">
        <v>34</v>
      </c>
      <c r="D30" s="3"/>
      <c r="E30" s="3"/>
      <c r="F30" s="3"/>
    </row>
    <row r="31" spans="1:6" ht="15" customHeight="1" x14ac:dyDescent="0.15">
      <c r="A31" s="5">
        <v>160.41</v>
      </c>
      <c r="B31" s="11" t="s">
        <v>47</v>
      </c>
      <c r="C31" s="4" t="s">
        <v>48</v>
      </c>
      <c r="D31" s="3"/>
      <c r="E31" s="3"/>
      <c r="F31" s="3"/>
    </row>
    <row r="32" spans="1:6" ht="15" customHeight="1" x14ac:dyDescent="0.15">
      <c r="A32" s="5">
        <v>162.41</v>
      </c>
      <c r="B32" s="11" t="s">
        <v>49</v>
      </c>
      <c r="C32" s="4" t="s">
        <v>36</v>
      </c>
      <c r="D32" s="3"/>
      <c r="E32" s="3"/>
      <c r="F32" s="3"/>
    </row>
    <row r="33" spans="1:6" ht="15" customHeight="1" x14ac:dyDescent="0.15">
      <c r="A33" s="5">
        <v>42.16</v>
      </c>
      <c r="B33" s="11" t="s">
        <v>47</v>
      </c>
      <c r="C33" s="4" t="s">
        <v>48</v>
      </c>
      <c r="D33" s="3"/>
      <c r="E33" s="3"/>
      <c r="F33" s="3"/>
    </row>
    <row r="34" spans="1:6" ht="15" customHeight="1" x14ac:dyDescent="0.15">
      <c r="A34" s="5">
        <v>1000</v>
      </c>
      <c r="B34" s="11" t="s">
        <v>25</v>
      </c>
      <c r="C34" s="4" t="s">
        <v>52</v>
      </c>
      <c r="D34" s="3"/>
      <c r="E34" s="3"/>
      <c r="F34" s="3"/>
    </row>
    <row r="35" spans="1:6" ht="15" customHeight="1" x14ac:dyDescent="0.15">
      <c r="A35" s="5"/>
      <c r="B35" s="11"/>
      <c r="C35" s="4"/>
      <c r="D35" s="3"/>
      <c r="E35" s="3"/>
      <c r="F35" s="3"/>
    </row>
    <row r="36" spans="1:6" ht="15" customHeight="1" x14ac:dyDescent="0.15">
      <c r="A36" s="6"/>
      <c r="B36" s="3"/>
      <c r="C36" s="4"/>
      <c r="D36" s="3"/>
      <c r="E36" s="3"/>
      <c r="F36" s="3"/>
    </row>
    <row r="37" spans="1:6" ht="15" customHeight="1" x14ac:dyDescent="0.15">
      <c r="A37" s="6"/>
      <c r="B37" s="3"/>
      <c r="C37" s="4"/>
      <c r="D37" s="3"/>
      <c r="E37" s="3"/>
      <c r="F37" s="3"/>
    </row>
    <row r="38" spans="1:6" ht="15" customHeight="1" x14ac:dyDescent="0.15">
      <c r="A38" s="6"/>
      <c r="B38" s="3"/>
      <c r="C38" s="4"/>
      <c r="D38" s="3"/>
      <c r="E38" s="3"/>
      <c r="F38" s="3"/>
    </row>
    <row r="39" spans="1:6" ht="15" customHeight="1" x14ac:dyDescent="0.15">
      <c r="A39" s="6"/>
      <c r="B39" s="3"/>
      <c r="C39" s="4"/>
      <c r="D39" s="3"/>
      <c r="E39" s="3"/>
      <c r="F39" s="3"/>
    </row>
    <row r="40" spans="1:6" ht="15" customHeight="1" x14ac:dyDescent="0.15">
      <c r="A40" s="6"/>
      <c r="B40" s="3"/>
      <c r="C40" s="4"/>
      <c r="D40" s="3"/>
      <c r="E40" s="3"/>
      <c r="F40" s="3"/>
    </row>
    <row r="41" spans="1:6" ht="15" customHeight="1" x14ac:dyDescent="0.15"/>
    <row r="42" spans="1:6" ht="15" customHeight="1" x14ac:dyDescent="0.15"/>
    <row r="43" spans="1:6" ht="15" customHeight="1" x14ac:dyDescent="0.15"/>
  </sheetData>
  <phoneticPr fontId="2" type="noConversion"/>
  <dataValidations count="2">
    <dataValidation type="list" allowBlank="1" showInputMessage="1" showErrorMessage="1" sqref="F15:F16" xr:uid="{A7EB26F7-82BA-48F0-84B5-1932EDAB17CA}">
      <formula1>"房租，装修，其他，设备，食材，推广，水电"</formula1>
    </dataValidation>
    <dataValidation type="list" allowBlank="1" showInputMessage="1" showErrorMessage="1" sqref="F5:F14 B6:B35" xr:uid="{D8987BD0-7D63-4D6E-A43B-EB69BC4DA586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26"/>
  <sheetViews>
    <sheetView workbookViewId="0">
      <selection activeCell="B23" sqref="B23"/>
    </sheetView>
  </sheetViews>
  <sheetFormatPr defaultColWidth="9" defaultRowHeight="15" customHeight="1" x14ac:dyDescent="0.15"/>
  <cols>
    <col min="1" max="1" width="21.125" style="3" customWidth="1"/>
    <col min="2" max="2" width="19.75" style="3" customWidth="1"/>
    <col min="3" max="3" width="23.25" style="3" customWidth="1"/>
    <col min="4" max="16384" width="9" style="3"/>
  </cols>
  <sheetData>
    <row r="1" spans="1:3" ht="15" customHeight="1" x14ac:dyDescent="0.15">
      <c r="A1" s="5" t="s">
        <v>37</v>
      </c>
      <c r="B1" s="10" t="s">
        <v>4</v>
      </c>
      <c r="C1" s="10" t="s">
        <v>5</v>
      </c>
    </row>
    <row r="2" spans="1:3" ht="15" customHeight="1" x14ac:dyDescent="0.15">
      <c r="A2" s="5">
        <v>4333</v>
      </c>
      <c r="B2" s="10" t="s">
        <v>53</v>
      </c>
      <c r="C2" s="10" t="s">
        <v>54</v>
      </c>
    </row>
    <row r="3" spans="1:3" ht="15" customHeight="1" x14ac:dyDescent="0.15">
      <c r="A3" s="5">
        <v>12000</v>
      </c>
      <c r="B3" s="10" t="s">
        <v>55</v>
      </c>
      <c r="C3" s="10" t="s">
        <v>56</v>
      </c>
    </row>
    <row r="4" spans="1:3" ht="15" customHeight="1" x14ac:dyDescent="0.15">
      <c r="A4" s="5">
        <v>1000</v>
      </c>
      <c r="B4" s="10" t="s">
        <v>25</v>
      </c>
      <c r="C4" s="10" t="s">
        <v>34</v>
      </c>
    </row>
    <row r="5" spans="1:3" ht="15" customHeight="1" x14ac:dyDescent="0.15">
      <c r="A5" s="5">
        <v>13260</v>
      </c>
      <c r="B5" s="10" t="s">
        <v>25</v>
      </c>
      <c r="C5" s="10" t="s">
        <v>26</v>
      </c>
    </row>
    <row r="6" spans="1:3" ht="15" customHeight="1" x14ac:dyDescent="0.15">
      <c r="A6" s="5">
        <v>600</v>
      </c>
      <c r="B6" s="10" t="s">
        <v>31</v>
      </c>
      <c r="C6" s="10" t="s">
        <v>32</v>
      </c>
    </row>
    <row r="7" spans="1:3" ht="15" customHeight="1" x14ac:dyDescent="0.15">
      <c r="A7" s="5">
        <v>938</v>
      </c>
      <c r="B7" s="10" t="s">
        <v>25</v>
      </c>
      <c r="C7" s="10" t="s">
        <v>33</v>
      </c>
    </row>
    <row r="8" spans="1:3" ht="15" customHeight="1" x14ac:dyDescent="0.15">
      <c r="A8" s="5">
        <v>1000</v>
      </c>
      <c r="B8" s="10" t="s">
        <v>25</v>
      </c>
      <c r="C8" s="10" t="s">
        <v>34</v>
      </c>
    </row>
    <row r="9" spans="1:3" ht="15" customHeight="1" x14ac:dyDescent="0.15">
      <c r="A9" s="5">
        <v>160.41</v>
      </c>
      <c r="B9" s="10" t="s">
        <v>25</v>
      </c>
      <c r="C9" s="10" t="s">
        <v>33</v>
      </c>
    </row>
    <row r="10" spans="1:3" ht="15" customHeight="1" x14ac:dyDescent="0.15">
      <c r="A10" s="5">
        <v>162.41</v>
      </c>
      <c r="B10" s="10" t="s">
        <v>35</v>
      </c>
      <c r="C10" s="10" t="s">
        <v>57</v>
      </c>
    </row>
    <row r="11" spans="1:3" ht="15" customHeight="1" x14ac:dyDescent="0.15">
      <c r="A11" s="5">
        <v>42.16</v>
      </c>
      <c r="B11" s="10" t="s">
        <v>25</v>
      </c>
      <c r="C11" s="10" t="s">
        <v>33</v>
      </c>
    </row>
    <row r="12" spans="1:3" ht="15" customHeight="1" x14ac:dyDescent="0.15">
      <c r="A12" s="5">
        <v>1000</v>
      </c>
      <c r="B12" s="10" t="s">
        <v>25</v>
      </c>
      <c r="C12" s="10" t="s">
        <v>34</v>
      </c>
    </row>
    <row r="13" spans="1:3" ht="15" customHeight="1" x14ac:dyDescent="0.15">
      <c r="A13" s="5"/>
      <c r="B13" s="10"/>
      <c r="C13" s="10"/>
    </row>
    <row r="14" spans="1:3" ht="15" customHeight="1" x14ac:dyDescent="0.15">
      <c r="A14" s="12"/>
      <c r="B14" s="10"/>
      <c r="C14" s="10"/>
    </row>
    <row r="15" spans="1:3" ht="15" customHeight="1" x14ac:dyDescent="0.15">
      <c r="A15" s="12"/>
      <c r="B15" s="10"/>
      <c r="C15" s="10"/>
    </row>
    <row r="16" spans="1:3" ht="15" customHeight="1" x14ac:dyDescent="0.15">
      <c r="A16" s="6" t="s">
        <v>38</v>
      </c>
      <c r="B16" s="9" t="s">
        <v>4</v>
      </c>
      <c r="C16" s="10" t="s">
        <v>5</v>
      </c>
    </row>
    <row r="17" spans="1:3" ht="15" customHeight="1" x14ac:dyDescent="0.15">
      <c r="A17" s="13">
        <v>4233.01</v>
      </c>
      <c r="B17" s="9" t="s">
        <v>39</v>
      </c>
      <c r="C17" s="10"/>
    </row>
    <row r="18" spans="1:3" ht="15" customHeight="1" x14ac:dyDescent="0.15">
      <c r="A18" s="13">
        <v>0</v>
      </c>
      <c r="B18" s="9" t="s">
        <v>40</v>
      </c>
      <c r="C18" s="10"/>
    </row>
    <row r="19" spans="1:3" ht="15" customHeight="1" x14ac:dyDescent="0.15">
      <c r="A19" s="13">
        <v>4623.5</v>
      </c>
      <c r="B19" s="9" t="s">
        <v>41</v>
      </c>
      <c r="C19" s="10"/>
    </row>
    <row r="20" spans="1:3" ht="15" customHeight="1" x14ac:dyDescent="0.15">
      <c r="A20" s="13">
        <v>2547.16</v>
      </c>
      <c r="B20" s="9" t="s">
        <v>42</v>
      </c>
      <c r="C20" s="10"/>
    </row>
    <row r="23" spans="1:3" ht="15" customHeight="1" x14ac:dyDescent="0.15">
      <c r="A23" s="6" t="s">
        <v>43</v>
      </c>
      <c r="B23" s="12">
        <f>SUM(成本明细表[成本明细])</f>
        <v>34495.98000000001</v>
      </c>
      <c r="C23" s="7"/>
    </row>
    <row r="24" spans="1:3" ht="15" customHeight="1" x14ac:dyDescent="0.15">
      <c r="A24" s="6" t="s">
        <v>44</v>
      </c>
      <c r="B24" s="12">
        <f>SUM(营业额明细表[营业额明细])</f>
        <v>11403.67</v>
      </c>
      <c r="C24" s="8"/>
    </row>
    <row r="25" spans="1:3" ht="15" customHeight="1" x14ac:dyDescent="0.15">
      <c r="A25" s="6" t="s">
        <v>45</v>
      </c>
      <c r="C25" s="8"/>
    </row>
    <row r="26" spans="1:3" ht="15" customHeight="1" x14ac:dyDescent="0.15">
      <c r="A26" s="3" t="s">
        <v>46</v>
      </c>
    </row>
  </sheetData>
  <phoneticPr fontId="2" type="noConversion"/>
  <dataValidations count="1">
    <dataValidation type="list" allowBlank="1" showInputMessage="1" showErrorMessage="1" sqref="B2:B12" xr:uid="{4914DE46-1952-4C58-B3A0-74A13D38394B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2026-01-30T11:28:00Z</dcterms:created>
  <dcterms:modified xsi:type="dcterms:W3CDTF">2026-02-13T07:20:56Z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