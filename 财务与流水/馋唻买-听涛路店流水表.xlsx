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<sst xmlns="http://schemas.openxmlformats.org/spreadsheetml/2006/main" count="189" uniqueCount="78">
  <si>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</si>
  <si>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</si>
  <si>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</si>
  <si>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</si>
  <si>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</si>
  <si>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</si>
  <si>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</si>
  <si>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</si>
  <si>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</si>
  <si>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</si>
  <si>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</si>
  <si>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</si>
  <si>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</si>
  <si>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</si>
  <si>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</si>
  <si>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</si>
  <si>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</si>
  <si>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</si>
  <si>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</si>
  <si>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</si>
  <si>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</si>
  <si>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</si>
  <si>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</si>
  <si>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</si>
  <si>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</si>
  <si>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</si>
  <si>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</si>
  <si>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</si>
  <si>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</si>
  <si>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</si>
  <si>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</si>
  <si>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</si>
  <si>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</si>
  <si>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</si>
  <si>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</si>
  <si>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</si>
  <si>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</si>
  <si>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</si>
  <si>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</si>
  <si>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</si>
  <si>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</si>
  <si>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</si>
  <si>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</si>
  <si>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</si>
  <si>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</si>
  <si>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</si>
  <si>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</si>
  <si>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</si>
  <si>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</si>
  <si>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</si>
  <si>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</si>
  <si>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</si>
  <si>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</si>
  <si>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</si>
  <si>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</si>
  <si>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</si>
  <si>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</si>
  <si>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</si>
  <si>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</si>
  <si>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</si>
  <si>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</si>
  <si>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</si>
  <si>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</si>
  <si>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</si>
  <si>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</si>
  <si>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</si>
  <si>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</si>
  <si>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</si>
  <si>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</si>
  <si>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</si>
  <si>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</si>
  <si>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</si>
  <si>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</si>
  <si>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</si>
  <si>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堂食</t>
  </si>
  <si>
    <t>京东</t>
  </si>
  <si>
    <t>淘宝</t>
  </si>
  <si>
    <t>美团</t>
  </si>
</sst>
</file>

<file path=xl/styles.xml><?xml version="1.0" encoding="utf-8"?>
<styleSheet xmlns="http://schemas.openxmlformats.org/spreadsheetml/2006/main">
  <numFmts count="7">
    <numFmt numFmtId="44" formatCode="_ &quot;￥&quot;* #,##0.00_ ;_ &quot;￥&quot;* \-#,##0.00_ ;_ &quot;￥&quot;* &quot;-&quot;??_ ;_ @_ "/>
    <numFmt numFmtId="176" formatCode="0.00_);[Red]\(0.00\)"/>
    <numFmt numFmtId="177" formatCode="#,##0.00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178" formatCode="0.00_ ;[Red]\-0.00\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FA7D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3" fillId="27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8" fillId="25" borderId="8" applyNumberFormat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21" fillId="7" borderId="8" applyNumberFormat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6" fillId="22" borderId="6" applyNumberFormat="0" applyAlignment="0" applyProtection="0">
      <alignment vertical="center"/>
    </xf>
    <xf numFmtId="0" fontId="10" fillId="7" borderId="3" applyNumberFormat="0" applyAlignment="0" applyProtection="0">
      <alignment vertical="center"/>
    </xf>
    <xf numFmtId="0" fontId="9" fillId="0" borderId="1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6" fontId="0" fillId="0" borderId="0" xfId="0" applyNumberFormat="1"/>
    <xf numFmtId="178" fontId="0" fillId="0" borderId="0" xfId="0" applyNumberFormat="1"/>
    <xf numFmtId="176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/>
    </xf>
    <xf numFmtId="4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31:C35" totalsRowShown="0">
  <autoFilter ref="A31:C35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27" totalsRowShown="0">
  <autoFilter ref="A6:C27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C3" sqref="C3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5" customWidth="1"/>
  </cols>
  <sheetData>
    <row r="1" ht="15" customHeight="1" spans="1:3">
      <c r="A1" s="2" t="s">
        <v>0</v>
      </c>
      <c r="C1" s="13">
        <v>100000</v>
      </c>
    </row>
    <row r="2" ht="15" customHeight="1" spans="1:3">
      <c r="A2" s="2" t="s">
        <v>1</v>
      </c>
      <c r="C2" s="14">
        <f>SUM(成本明细[金额(元)])</f>
        <v>99761.38</v>
      </c>
    </row>
    <row r="3" ht="15" customHeight="1" spans="1:3">
      <c r="A3" s="2" t="s">
        <v>2</v>
      </c>
      <c r="C3" s="14">
        <f>C1-C2</f>
        <v>238.619999999981</v>
      </c>
    </row>
    <row r="4" ht="15" customHeight="1"/>
    <row r="5" ht="15" customHeight="1" spans="1:3">
      <c r="A5" s="2" t="s">
        <v>3</v>
      </c>
      <c r="B5" s="11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5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5" t="s">
        <v>30</v>
      </c>
    </row>
    <row r="26" ht="15" customHeight="1" spans="1:3">
      <c r="A26" s="5">
        <v>640</v>
      </c>
      <c r="B26" t="s">
        <v>9</v>
      </c>
      <c r="C26" s="15" t="s">
        <v>31</v>
      </c>
    </row>
    <row r="27" ht="15" customHeight="1" spans="1:3">
      <c r="A27" s="5">
        <v>500</v>
      </c>
      <c r="B27" t="s">
        <v>32</v>
      </c>
      <c r="C27" s="15" t="s">
        <v>33</v>
      </c>
    </row>
    <row r="28" ht="15" customHeight="1" spans="1:3">
      <c r="A28" s="5">
        <v>600</v>
      </c>
      <c r="B28" t="s">
        <v>32</v>
      </c>
      <c r="C28" s="15" t="s">
        <v>34</v>
      </c>
    </row>
    <row r="29" ht="15" customHeight="1" spans="1:3">
      <c r="A29" s="5">
        <v>938</v>
      </c>
      <c r="B29" t="s">
        <v>25</v>
      </c>
      <c r="C29" s="15" t="s">
        <v>35</v>
      </c>
    </row>
    <row r="30" ht="15" customHeight="1" spans="1:3">
      <c r="A30" s="5">
        <v>1000</v>
      </c>
      <c r="B30" t="s">
        <v>25</v>
      </c>
      <c r="C30" s="15" t="s">
        <v>26</v>
      </c>
    </row>
    <row r="31" ht="15" customHeight="1" spans="1:3">
      <c r="A31" s="5">
        <v>60.5</v>
      </c>
      <c r="B31" t="s">
        <v>25</v>
      </c>
      <c r="C31" s="15" t="s">
        <v>36</v>
      </c>
    </row>
    <row r="32" ht="15" customHeight="1" spans="1:3">
      <c r="A32" s="5">
        <v>162.41</v>
      </c>
      <c r="B32" t="s">
        <v>37</v>
      </c>
      <c r="C32" s="15" t="s">
        <v>38</v>
      </c>
    </row>
    <row r="33" ht="15" customHeight="1" spans="1:3">
      <c r="A33" s="5">
        <v>42.16</v>
      </c>
      <c r="B33" t="s">
        <v>25</v>
      </c>
      <c r="C33" s="15" t="s">
        <v>35</v>
      </c>
    </row>
    <row r="34" ht="15" customHeight="1" spans="1:3">
      <c r="A34" s="5">
        <v>1000</v>
      </c>
      <c r="B34" t="s">
        <v>25</v>
      </c>
      <c r="C34" s="15" t="s">
        <v>26</v>
      </c>
    </row>
    <row r="35" ht="15" customHeight="1" spans="1:3">
      <c r="A35" s="8">
        <v>500</v>
      </c>
      <c r="B35" s="16" t="s">
        <v>9</v>
      </c>
      <c r="C35" s="17" t="s">
        <v>39</v>
      </c>
    </row>
    <row r="36" ht="15" customHeight="1" spans="1:3">
      <c r="A36" s="8">
        <v>1300</v>
      </c>
      <c r="B36" s="16" t="s">
        <v>25</v>
      </c>
      <c r="C36" s="17" t="s">
        <v>40</v>
      </c>
    </row>
    <row r="37" ht="15" customHeight="1" spans="1:3">
      <c r="A37" s="8">
        <v>253.84</v>
      </c>
      <c r="B37" s="16" t="s">
        <v>25</v>
      </c>
      <c r="C37" s="17" t="s">
        <v>36</v>
      </c>
    </row>
    <row r="38" ht="15" customHeight="1" spans="1:3">
      <c r="A38" s="8">
        <v>1000</v>
      </c>
      <c r="B38" s="16" t="s">
        <v>25</v>
      </c>
      <c r="C38" s="17" t="s">
        <v>26</v>
      </c>
    </row>
    <row r="39" ht="15" customHeight="1" spans="1:3">
      <c r="A39" s="8">
        <v>355.3</v>
      </c>
      <c r="B39" s="16" t="s">
        <v>25</v>
      </c>
      <c r="C39" s="17" t="s">
        <v>36</v>
      </c>
    </row>
    <row r="40" ht="15" customHeight="1" spans="1:3">
      <c r="A40" s="8">
        <v>3000</v>
      </c>
      <c r="B40" s="16" t="s">
        <v>25</v>
      </c>
      <c r="C40" s="17" t="s">
        <v>41</v>
      </c>
    </row>
    <row r="41" ht="15" customHeight="1" spans="1:3">
      <c r="A41" s="8">
        <v>174</v>
      </c>
      <c r="B41" s="16" t="s">
        <v>25</v>
      </c>
      <c r="C41" s="17" t="s">
        <v>36</v>
      </c>
    </row>
    <row r="42" ht="15" customHeight="1" spans="1:3">
      <c r="A42" s="8">
        <v>33.6</v>
      </c>
      <c r="B42" s="16" t="s">
        <v>14</v>
      </c>
      <c r="C42" s="17" t="s">
        <v>42</v>
      </c>
    </row>
    <row r="43" ht="15" customHeight="1" spans="1:3">
      <c r="A43" s="8">
        <v>500</v>
      </c>
      <c r="B43" s="16" t="s">
        <v>25</v>
      </c>
      <c r="C43" s="17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B3" sqref="B3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2">
      <c r="A1" s="2" t="s">
        <v>43</v>
      </c>
      <c r="B1" s="3">
        <f>SUM(成本明细表_6[成本明细])</f>
        <v>36512.81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5922.93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7500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8">
        <v>1300</v>
      </c>
      <c r="B18" s="7" t="s">
        <v>25</v>
      </c>
      <c r="C18" s="7" t="s">
        <v>50</v>
      </c>
    </row>
    <row r="19" customHeight="1" spans="1:3">
      <c r="A19" s="8">
        <v>253.84</v>
      </c>
      <c r="B19" s="7" t="s">
        <v>25</v>
      </c>
      <c r="C19" s="7" t="s">
        <v>36</v>
      </c>
    </row>
    <row r="20" customHeight="1" spans="1:3">
      <c r="A20" s="8">
        <v>1000</v>
      </c>
      <c r="B20" s="7" t="s">
        <v>25</v>
      </c>
      <c r="C20" s="6" t="s">
        <v>26</v>
      </c>
    </row>
    <row r="21" customHeight="1" spans="1:3">
      <c r="A21" s="8">
        <v>355.3</v>
      </c>
      <c r="B21" s="7" t="s">
        <v>25</v>
      </c>
      <c r="C21" s="7" t="s">
        <v>36</v>
      </c>
    </row>
    <row r="22" customHeight="1" spans="1:3">
      <c r="A22" s="8">
        <v>3000</v>
      </c>
      <c r="B22" s="7" t="s">
        <v>25</v>
      </c>
      <c r="C22" s="7" t="s">
        <v>41</v>
      </c>
    </row>
    <row r="23" customHeight="1" spans="1:3">
      <c r="A23" s="8">
        <v>174</v>
      </c>
      <c r="B23" s="7" t="s">
        <v>25</v>
      </c>
      <c r="C23" s="7" t="s">
        <v>36</v>
      </c>
    </row>
    <row r="24" customHeight="1" spans="1:3">
      <c r="A24" s="8">
        <v>33.6</v>
      </c>
      <c r="B24" s="7" t="s">
        <v>14</v>
      </c>
      <c r="C24" s="7" t="s">
        <v>42</v>
      </c>
    </row>
    <row r="25" customHeight="1" spans="1:3">
      <c r="A25" s="8">
        <v>500</v>
      </c>
      <c r="B25" s="7" t="s">
        <v>25</v>
      </c>
      <c r="C25" s="7" t="s">
        <v>26</v>
      </c>
    </row>
    <row r="26" customHeight="1" spans="1:3">
      <c r="A26" s="2"/>
      <c r="B26" s="11"/>
      <c r="C26" s="6"/>
    </row>
    <row r="27" customHeight="1" spans="1:3">
      <c r="A27" s="2"/>
      <c r="B27" s="11"/>
      <c r="C27" s="6"/>
    </row>
    <row r="28" customHeight="1" spans="1:3">
      <c r="A28" s="2"/>
      <c r="B28" s="11"/>
      <c r="C28" s="6"/>
    </row>
    <row r="29" customHeight="1" spans="1:3">
      <c r="A29" s="2" t="s">
        <v>51</v>
      </c>
      <c r="B29" s="11" t="s">
        <v>4</v>
      </c>
      <c r="C29" s="6" t="s">
        <v>5</v>
      </c>
    </row>
    <row r="30" customHeight="1" spans="1:3">
      <c r="A30" s="12">
        <v>6683.96</v>
      </c>
      <c r="B30" s="11" t="s">
        <v>52</v>
      </c>
      <c r="C30" s="6"/>
    </row>
    <row r="31" customHeight="1" spans="1:3">
      <c r="A31" s="12">
        <v>1861.8</v>
      </c>
      <c r="B31" s="11" t="s">
        <v>53</v>
      </c>
      <c r="C31" s="6"/>
    </row>
    <row r="32" customHeight="1" spans="1:3">
      <c r="A32" s="12">
        <v>0</v>
      </c>
      <c r="B32" s="11" t="s">
        <v>54</v>
      </c>
      <c r="C32" s="6"/>
    </row>
    <row r="33" customHeight="1" spans="1:3">
      <c r="A33" s="12">
        <v>19919.1</v>
      </c>
      <c r="B33" s="11" t="s">
        <v>55</v>
      </c>
      <c r="C33" s="6"/>
    </row>
    <row r="34" customHeight="1" spans="1:3">
      <c r="A34" s="12">
        <v>13970.88</v>
      </c>
      <c r="B34" s="11" t="s">
        <v>56</v>
      </c>
      <c r="C34" s="6"/>
    </row>
    <row r="37" customHeight="1" spans="1:3">
      <c r="A37" s="2"/>
      <c r="B37" s="3"/>
      <c r="C37" s="13"/>
    </row>
    <row r="38" customHeight="1" spans="1:3">
      <c r="A38" s="2"/>
      <c r="B38" s="3"/>
      <c r="C38" s="14"/>
    </row>
    <row r="39" customHeight="1" spans="1:3">
      <c r="A39" s="2"/>
      <c r="C39" s="14"/>
    </row>
    <row r="43" customHeight="1" spans="1:3">
      <c r="A43" s="2"/>
      <c r="B43" s="11"/>
      <c r="C43" s="6"/>
    </row>
    <row r="44" customHeight="1" spans="1:3">
      <c r="A44" s="12"/>
      <c r="B44" s="11"/>
      <c r="C44" s="6"/>
    </row>
    <row r="45" customHeight="1" spans="1:3">
      <c r="A45" s="12"/>
      <c r="B45" s="11"/>
      <c r="C45" s="6"/>
    </row>
    <row r="46" customHeight="1" spans="1:3">
      <c r="A46" s="12"/>
      <c r="B46" s="11"/>
      <c r="C46" s="6"/>
    </row>
    <row r="47" customHeight="1" spans="1:3">
      <c r="A47" s="12"/>
      <c r="B47" s="11"/>
      <c r="C47" s="6"/>
    </row>
    <row r="48" customHeight="1" spans="1:3">
      <c r="A48" s="12"/>
      <c r="B48" s="11"/>
      <c r="C48" s="6"/>
    </row>
  </sheetData>
  <dataValidations count="2">
    <dataValidation type="list" allowBlank="1" showInputMessage="1" showErrorMessage="1" sqref="B21:B24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0"/>
  <sheetViews>
    <sheetView tabSelected="1" workbookViewId="0">
      <selection activeCell="B5" sqref="B5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41008.22</v>
      </c>
    </row>
    <row r="2" customHeight="1" spans="1:2">
      <c r="A2" s="2" t="s">
        <v>44</v>
      </c>
      <c r="B2" s="3">
        <f>SUM(营业额明细表[营业额明细])</f>
        <v>0</v>
      </c>
    </row>
    <row r="3" customHeight="1" spans="1:2">
      <c r="A3" s="2" t="s">
        <v>45</v>
      </c>
      <c r="B3" s="4">
        <f>B2-B1</f>
        <v>-41008.22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17000</v>
      </c>
      <c r="B8" s="6" t="s">
        <v>48</v>
      </c>
      <c r="C8" s="6" t="s">
        <v>49</v>
      </c>
    </row>
    <row r="9" customHeight="1" spans="1:3">
      <c r="A9" s="5">
        <v>4140</v>
      </c>
      <c r="B9" s="6" t="s">
        <v>25</v>
      </c>
      <c r="C9" s="6" t="s">
        <v>57</v>
      </c>
    </row>
    <row r="10" customHeight="1" spans="1:3">
      <c r="A10" s="5">
        <v>7866</v>
      </c>
      <c r="B10" s="7" t="s">
        <v>25</v>
      </c>
      <c r="C10" s="7" t="s">
        <v>58</v>
      </c>
    </row>
    <row r="11" customHeight="1" spans="1:3">
      <c r="A11" s="5">
        <v>28.64</v>
      </c>
      <c r="B11" s="7" t="s">
        <v>14</v>
      </c>
      <c r="C11" s="7" t="s">
        <v>59</v>
      </c>
    </row>
    <row r="12" customHeight="1" spans="1:3">
      <c r="A12" s="5">
        <v>44.48</v>
      </c>
      <c r="B12" s="7" t="s">
        <v>25</v>
      </c>
      <c r="C12" s="7" t="s">
        <v>36</v>
      </c>
    </row>
    <row r="13" customHeight="1" spans="1:3">
      <c r="A13" s="5">
        <v>3000</v>
      </c>
      <c r="B13" s="7" t="s">
        <v>25</v>
      </c>
      <c r="C13" s="7" t="s">
        <v>26</v>
      </c>
    </row>
    <row r="14" customHeight="1" spans="1:3">
      <c r="A14" s="5">
        <v>23</v>
      </c>
      <c r="B14" s="7" t="s">
        <v>25</v>
      </c>
      <c r="C14" s="7" t="s">
        <v>60</v>
      </c>
    </row>
    <row r="15" customHeight="1" spans="1:3">
      <c r="A15" s="5">
        <v>468</v>
      </c>
      <c r="B15" s="7" t="s">
        <v>25</v>
      </c>
      <c r="C15" s="7" t="s">
        <v>61</v>
      </c>
    </row>
    <row r="16" customHeight="1" spans="1:3">
      <c r="A16" s="5">
        <v>385</v>
      </c>
      <c r="B16" s="7" t="s">
        <v>25</v>
      </c>
      <c r="C16" s="7" t="s">
        <v>62</v>
      </c>
    </row>
    <row r="17" s="1" customFormat="1" customHeight="1" spans="1:3">
      <c r="A17" s="5">
        <v>295</v>
      </c>
      <c r="B17" s="7" t="s">
        <v>25</v>
      </c>
      <c r="C17" s="7" t="s">
        <v>63</v>
      </c>
    </row>
    <row r="18" s="1" customFormat="1" customHeight="1" spans="1:3">
      <c r="A18" s="5">
        <v>718</v>
      </c>
      <c r="B18" s="7" t="s">
        <v>25</v>
      </c>
      <c r="C18" s="7" t="s">
        <v>64</v>
      </c>
    </row>
    <row r="19" s="1" customFormat="1" customHeight="1" spans="1:3">
      <c r="A19" s="5">
        <v>57.6</v>
      </c>
      <c r="B19" s="7" t="s">
        <v>25</v>
      </c>
      <c r="C19" s="7" t="s">
        <v>65</v>
      </c>
    </row>
    <row r="20" customHeight="1" spans="1:3">
      <c r="A20" s="5">
        <v>302.5</v>
      </c>
      <c r="B20" s="7" t="s">
        <v>25</v>
      </c>
      <c r="C20" s="7" t="s">
        <v>66</v>
      </c>
    </row>
    <row r="21" customHeight="1" spans="1:3">
      <c r="A21" s="5">
        <v>1000</v>
      </c>
      <c r="B21" s="7" t="s">
        <v>32</v>
      </c>
      <c r="C21" s="7" t="s">
        <v>67</v>
      </c>
    </row>
    <row r="22" customHeight="1" spans="1:3">
      <c r="A22" s="8">
        <v>225</v>
      </c>
      <c r="B22" s="7" t="s">
        <v>25</v>
      </c>
      <c r="C22" s="7" t="s">
        <v>68</v>
      </c>
    </row>
    <row r="23" customHeight="1" spans="1:3">
      <c r="A23" s="8">
        <v>350</v>
      </c>
      <c r="B23" s="7" t="s">
        <v>25</v>
      </c>
      <c r="C23" s="7" t="s">
        <v>69</v>
      </c>
    </row>
    <row r="24" customHeight="1" spans="1:3">
      <c r="A24" s="8">
        <v>112</v>
      </c>
      <c r="B24" s="7" t="s">
        <v>25</v>
      </c>
      <c r="C24" s="7" t="s">
        <v>70</v>
      </c>
    </row>
    <row r="25" customHeight="1" spans="1:3">
      <c r="A25" s="8">
        <v>198</v>
      </c>
      <c r="B25" s="7" t="s">
        <v>25</v>
      </c>
      <c r="C25" s="7" t="s">
        <v>71</v>
      </c>
    </row>
    <row r="26" customHeight="1" spans="1:3">
      <c r="A26" s="8">
        <v>100</v>
      </c>
      <c r="B26" s="7" t="s">
        <v>32</v>
      </c>
      <c r="C26" s="7" t="s">
        <v>72</v>
      </c>
    </row>
    <row r="27" customHeight="1" spans="1:3">
      <c r="A27" s="9">
        <v>362</v>
      </c>
      <c r="B27" s="10" t="s">
        <v>25</v>
      </c>
      <c r="C27" s="10" t="s">
        <v>73</v>
      </c>
    </row>
    <row r="28" customHeight="1" spans="1:3">
      <c r="A28" s="2"/>
      <c r="B28" s="11"/>
      <c r="C28" s="6"/>
    </row>
    <row r="29" customHeight="1" spans="1:3">
      <c r="A29" s="2"/>
      <c r="B29" s="11"/>
      <c r="C29" s="6"/>
    </row>
    <row r="30" customHeight="1" spans="1:3">
      <c r="A30" s="2"/>
      <c r="B30" s="11"/>
      <c r="C30" s="6"/>
    </row>
    <row r="31" customHeight="1" spans="1:3">
      <c r="A31" s="2" t="s">
        <v>51</v>
      </c>
      <c r="B31" s="11" t="s">
        <v>4</v>
      </c>
      <c r="C31" s="6" t="s">
        <v>5</v>
      </c>
    </row>
    <row r="32" customHeight="1" spans="1:3">
      <c r="A32" s="12">
        <v>0</v>
      </c>
      <c r="B32" s="11" t="s">
        <v>74</v>
      </c>
      <c r="C32" s="6"/>
    </row>
    <row r="33" customHeight="1" spans="1:3">
      <c r="A33" s="12">
        <v>0</v>
      </c>
      <c r="B33" s="11" t="s">
        <v>75</v>
      </c>
      <c r="C33" s="6"/>
    </row>
    <row r="34" customHeight="1" spans="1:3">
      <c r="A34" s="12">
        <v>0</v>
      </c>
      <c r="B34" s="11" t="s">
        <v>76</v>
      </c>
      <c r="C34" s="6"/>
    </row>
    <row r="35" customHeight="1" spans="1:3">
      <c r="A35" s="12">
        <v>0</v>
      </c>
      <c r="B35" s="11" t="s">
        <v>77</v>
      </c>
      <c r="C35" s="6"/>
    </row>
    <row r="38" customHeight="1" spans="1:3">
      <c r="A38" s="2"/>
      <c r="B38" s="3"/>
      <c r="C38" s="13"/>
    </row>
    <row r="39" customHeight="1" spans="1:3">
      <c r="A39" s="2"/>
      <c r="B39" s="3"/>
      <c r="C39" s="14"/>
    </row>
    <row r="40" customHeight="1" spans="1:3">
      <c r="A40" s="2"/>
      <c r="C40" s="14"/>
    </row>
  </sheetData>
  <dataValidations count="1">
    <dataValidation type="list" allowBlank="1" showInputMessage="1" showErrorMessage="1" sqref="B25 B26 B27 B7:B2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2026-02-06T03:28:00Z</dcterms:created>
  <dcterms:modified xsi:type="dcterms:W3CDTF">2026-03-04T17:12:51Z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