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000" windowHeight="15820" tabRatio="600" firstSheet="1" activeTab="3" autoFilterDateGrouping="1"/>
  </bookViews>
  <sheets>
    <sheet name="开店成本清单" sheetId="1" state="visible" r:id="rId1"/>
    <sheet name="2026-02流水 " sheetId="2" state="visible" r:id="rId2"/>
    <sheet name="2026-03流水" sheetId="3" state="visible" r:id="rId3"/>
    <sheet name="2026-04流水" sheetId="4" state="visible" r:id="rId4"/>
  </sheets>
  <definedNames/>
  <calcPr calcId="144525" fullCalcOnLoad="1"/>
</workbook>
</file>

<file path=xl/styles.xml><?xml version="1.0" encoding="utf-8"?>
<styleSheet xmlns="http://schemas.openxmlformats.org/spreadsheetml/2006/main">
  <numFmts count="3">
    <numFmt numFmtId="164" formatCode="0.00_ ;[Red]\-0.00\ "/>
    <numFmt numFmtId="165" formatCode="#,##0.00_ "/>
    <numFmt numFmtId="166" formatCode="0.00_);[Red]\(0.00\)"/>
  </numFmts>
  <fonts count="27">
    <font>
      <name val="宋体"/>
      <charset val="134"/>
      <color theme="1"/>
      <sz val="11"/>
      <scheme val="minor"/>
    </font>
    <font>
      <name val="宋体"/>
      <charset val="134"/>
      <color theme="1"/>
      <sz val="11"/>
    </font>
    <font>
      <name val="宋体"/>
      <charset val="134"/>
      <b val="1"/>
      <color rgb="FFFFFFFF"/>
      <sz val="11"/>
      <scheme val="minor"/>
    </font>
    <font>
      <name val="宋体"/>
      <charset val="134"/>
      <color rgb="FFFFFFFF"/>
      <sz val="10"/>
      <scheme val="minor"/>
    </font>
    <font>
      <name val="宋体"/>
      <charset val="134"/>
      <color rgb="FF000000"/>
      <sz val="10"/>
      <scheme val="minor"/>
    </font>
    <font>
      <name val="宋体"/>
      <charset val="0"/>
      <color rgb="FFFA7D00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theme="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i val="1"/>
      <color rgb="FF7F7F7F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006100"/>
      <sz val="11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color rgb="FF3F3F76"/>
      <sz val="11"/>
      <scheme val="minor"/>
    </font>
    <font>
      <b val="1"/>
      <color rgb="00FFFFFF"/>
      <sz val="11"/>
    </font>
    <font>
      <color rgb="00FFFFFF"/>
      <sz val="10"/>
    </font>
    <font>
      <color rgb="00000000"/>
      <sz val="10"/>
    </font>
  </fonts>
  <fills count="51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F2F2F2"/>
        <bgColor rgb="FFF2F2F2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FFFFFF"/>
        <bgColor rgb="FFFFFFFF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001F4E78"/>
        <bgColor rgb="001F4E78"/>
      </patternFill>
    </fill>
    <fill>
      <patternFill patternType="solid">
        <fgColor rgb="004472C4"/>
        <bgColor rgb="004472C4"/>
      </patternFill>
    </fill>
    <fill>
      <patternFill patternType="solid">
        <fgColor rgb="00D4EDDA"/>
        <bgColor rgb="00D4EDDA"/>
      </patternFill>
    </fill>
    <fill>
      <patternFill patternType="solid">
        <fgColor rgb="00F8D7DA"/>
        <bgColor rgb="00F8D7DA"/>
      </patternFill>
    </fill>
    <fill>
      <patternFill patternType="solid">
        <fgColor rgb="00375623"/>
        <bgColor rgb="00375623"/>
      </patternFill>
    </fill>
    <fill>
      <patternFill patternType="solid">
        <fgColor rgb="0070AD47"/>
        <bgColor rgb="0070AD47"/>
      </patternFill>
    </fill>
    <fill>
      <patternFill patternType="solid">
        <fgColor rgb="006B3F3F"/>
        <bgColor rgb="006B3F3F"/>
      </patternFill>
    </fill>
    <fill>
      <patternFill patternType="solid">
        <fgColor rgb="00C5504F"/>
        <bgColor rgb="00C5504F"/>
      </patternFill>
    </fill>
  </fills>
  <borders count="13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/>
    <xf numFmtId="0" fontId="7" fillId="41" borderId="0" applyAlignment="1">
      <alignment vertical="center"/>
    </xf>
    <xf numFmtId="0" fontId="6" fillId="35" borderId="0" applyAlignment="1">
      <alignment vertical="center"/>
    </xf>
    <xf numFmtId="0" fontId="7" fillId="36" borderId="0" applyAlignment="1">
      <alignment vertical="center"/>
    </xf>
    <xf numFmtId="0" fontId="23" fillId="42" borderId="10" applyAlignment="1">
      <alignment vertical="center"/>
    </xf>
    <xf numFmtId="0" fontId="6" fillId="40" borderId="0" applyAlignment="1">
      <alignment vertical="center"/>
    </xf>
    <xf numFmtId="0" fontId="6" fillId="39" borderId="0" applyAlignment="1">
      <alignment vertical="center"/>
    </xf>
    <xf numFmtId="44" fontId="0" fillId="0" borderId="0" applyAlignment="1">
      <alignment vertical="center"/>
    </xf>
    <xf numFmtId="0" fontId="7" fillId="37" borderId="0" applyAlignment="1">
      <alignment vertical="center"/>
    </xf>
    <xf numFmtId="9" fontId="0" fillId="0" borderId="0" applyAlignment="1">
      <alignment vertical="center"/>
    </xf>
    <xf numFmtId="0" fontId="7" fillId="34" borderId="0" applyAlignment="1">
      <alignment vertical="center"/>
    </xf>
    <xf numFmtId="0" fontId="7" fillId="20" borderId="0" applyAlignment="1">
      <alignment vertical="center"/>
    </xf>
    <xf numFmtId="0" fontId="7" fillId="24" borderId="0" applyAlignment="1">
      <alignment vertical="center"/>
    </xf>
    <xf numFmtId="0" fontId="7" fillId="18" borderId="0" applyAlignment="1">
      <alignment vertical="center"/>
    </xf>
    <xf numFmtId="0" fontId="7" fillId="31" borderId="0" applyAlignment="1">
      <alignment vertical="center"/>
    </xf>
    <xf numFmtId="0" fontId="22" fillId="23" borderId="10" applyAlignment="1">
      <alignment vertical="center"/>
    </xf>
    <xf numFmtId="0" fontId="7" fillId="38" borderId="0" applyAlignment="1">
      <alignment vertical="center"/>
    </xf>
    <xf numFmtId="0" fontId="16" fillId="28" borderId="0" applyAlignment="1">
      <alignment vertical="center"/>
    </xf>
    <xf numFmtId="0" fontId="6" fillId="27" borderId="0" applyAlignment="1">
      <alignment vertical="center"/>
    </xf>
    <xf numFmtId="0" fontId="20" fillId="32" borderId="0" applyAlignment="1">
      <alignment vertical="center"/>
    </xf>
    <xf numFmtId="0" fontId="6" fillId="30" borderId="0" applyAlignment="1">
      <alignment vertical="center"/>
    </xf>
    <xf numFmtId="0" fontId="18" fillId="0" borderId="9" applyAlignment="1">
      <alignment vertical="center"/>
    </xf>
    <xf numFmtId="0" fontId="17" fillId="29" borderId="0" applyAlignment="1">
      <alignment vertical="center"/>
    </xf>
    <xf numFmtId="0" fontId="15" fillId="26" borderId="8" applyAlignment="1">
      <alignment vertical="center"/>
    </xf>
    <xf numFmtId="0" fontId="14" fillId="23" borderId="7" applyAlignment="1">
      <alignment vertical="center"/>
    </xf>
    <xf numFmtId="0" fontId="13" fillId="0" borderId="6" applyAlignment="1">
      <alignment vertical="center"/>
    </xf>
    <xf numFmtId="0" fontId="11" fillId="0" borderId="0" applyAlignment="1">
      <alignment vertical="center"/>
    </xf>
    <xf numFmtId="0" fontId="6" fillId="21" borderId="0" applyAlignment="1">
      <alignment vertical="center"/>
    </xf>
    <xf numFmtId="0" fontId="19" fillId="0" borderId="0" applyAlignment="1">
      <alignment vertical="center"/>
    </xf>
    <xf numFmtId="42" fontId="0" fillId="0" borderId="0" applyAlignment="1">
      <alignment vertical="center"/>
    </xf>
    <xf numFmtId="0" fontId="6" fillId="19" borderId="0" applyAlignment="1">
      <alignment vertical="center"/>
    </xf>
    <xf numFmtId="43" fontId="0" fillId="0" borderId="0" applyAlignment="1">
      <alignment vertical="center"/>
    </xf>
    <xf numFmtId="0" fontId="9" fillId="0" borderId="0" applyAlignment="1">
      <alignment vertical="center"/>
    </xf>
    <xf numFmtId="0" fontId="8" fillId="0" borderId="0" applyAlignment="1">
      <alignment vertical="center"/>
    </xf>
    <xf numFmtId="0" fontId="6" fillId="22" borderId="0" applyAlignment="1">
      <alignment vertical="center"/>
    </xf>
    <xf numFmtId="0" fontId="12" fillId="0" borderId="0" applyAlignment="1">
      <alignment vertical="center"/>
    </xf>
    <xf numFmtId="0" fontId="7" fillId="16" borderId="0" applyAlignment="1">
      <alignment vertical="center"/>
    </xf>
    <xf numFmtId="0" fontId="0" fillId="13" borderId="5" applyAlignment="1">
      <alignment vertical="center"/>
    </xf>
    <xf numFmtId="0" fontId="6" fillId="25" borderId="0" applyAlignment="1">
      <alignment vertical="center"/>
    </xf>
    <xf numFmtId="0" fontId="7" fillId="15" borderId="0" applyAlignment="1">
      <alignment vertical="center"/>
    </xf>
    <xf numFmtId="0" fontId="6" fillId="17" borderId="0" applyAlignment="1">
      <alignment vertical="center"/>
    </xf>
    <xf numFmtId="0" fontId="10" fillId="0" borderId="0" applyAlignment="1">
      <alignment vertical="center"/>
    </xf>
    <xf numFmtId="41" fontId="0" fillId="0" borderId="0" applyAlignment="1">
      <alignment vertical="center"/>
    </xf>
    <xf numFmtId="0" fontId="21" fillId="0" borderId="6" applyAlignment="1">
      <alignment vertical="center"/>
    </xf>
    <xf numFmtId="0" fontId="6" fillId="14" borderId="0" applyAlignment="1">
      <alignment vertical="center"/>
    </xf>
    <xf numFmtId="0" fontId="19" fillId="0" borderId="11" applyAlignment="1">
      <alignment vertical="center"/>
    </xf>
    <xf numFmtId="0" fontId="7" fillId="33" borderId="0" applyAlignment="1">
      <alignment vertical="center"/>
    </xf>
    <xf numFmtId="0" fontId="6" fillId="12" borderId="0" applyAlignment="1">
      <alignment vertical="center"/>
    </xf>
    <xf numFmtId="0" fontId="5" fillId="0" borderId="4" applyAlignment="1">
      <alignment vertical="center"/>
    </xf>
  </cellStyleXfs>
  <cellXfs count="71">
    <xf numFmtId="0" fontId="0" fillId="0" borderId="0" pivotButton="0" quotePrefix="0" xfId="0"/>
    <xf numFmtId="164" fontId="0" fillId="0" borderId="0" pivotButton="0" quotePrefix="0" xfId="0"/>
    <xf numFmtId="164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left"/>
    </xf>
    <xf numFmtId="4" fontId="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65" fontId="0" fillId="0" borderId="0" applyAlignment="1" pivotButton="0" quotePrefix="0" xfId="0">
      <alignment horizontal="left"/>
    </xf>
    <xf numFmtId="166" fontId="0" fillId="0" borderId="0" pivotButton="0" quotePrefix="0" xfId="0"/>
    <xf numFmtId="1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165" fontId="1" fillId="0" borderId="0" applyAlignment="1" pivotButton="0" quotePrefix="0" xfId="0">
      <alignment horizontal="left"/>
    </xf>
    <xf numFmtId="0" fontId="2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10" fontId="3" fillId="3" borderId="2" applyAlignment="1" pivotButton="0" quotePrefix="0" xfId="0">
      <alignment horizontal="center" vertical="center" wrapText="1"/>
    </xf>
    <xf numFmtId="0" fontId="4" fillId="4" borderId="3" applyAlignment="1" pivotButton="0" quotePrefix="0" xfId="0">
      <alignment horizontal="center" vertical="center"/>
    </xf>
    <xf numFmtId="2" fontId="4" fillId="4" borderId="3" applyAlignment="1" pivotButton="0" quotePrefix="0" xfId="0">
      <alignment horizontal="center" vertical="center"/>
    </xf>
    <xf numFmtId="0" fontId="4" fillId="5" borderId="3" applyAlignment="1" pivotButton="0" quotePrefix="0" xfId="0">
      <alignment horizontal="center" vertical="center"/>
    </xf>
    <xf numFmtId="2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center" vertical="center"/>
    </xf>
    <xf numFmtId="2" fontId="4" fillId="6" borderId="3" applyAlignment="1" pivotButton="0" quotePrefix="0" xfId="0">
      <alignment horizontal="center" vertical="center"/>
    </xf>
    <xf numFmtId="10" fontId="4" fillId="6" borderId="3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 wrapText="1"/>
    </xf>
    <xf numFmtId="0" fontId="3" fillId="8" borderId="2" applyAlignment="1" pivotButton="0" quotePrefix="0" xfId="0">
      <alignment horizontal="center" vertical="center" wrapText="1"/>
    </xf>
    <xf numFmtId="0" fontId="4" fillId="9" borderId="3" applyAlignment="1" pivotButton="0" quotePrefix="0" xfId="0">
      <alignment horizontal="center" vertical="center"/>
    </xf>
    <xf numFmtId="2" fontId="4" fillId="9" borderId="3" applyAlignment="1" pivotButton="0" quotePrefix="0" xfId="0">
      <alignment horizontal="center" vertical="center"/>
    </xf>
    <xf numFmtId="10" fontId="4" fillId="9" borderId="3" applyAlignment="1" pivotButton="0" quotePrefix="0" xfId="0">
      <alignment horizontal="center" vertical="center"/>
    </xf>
    <xf numFmtId="0" fontId="2" fillId="8" borderId="3" applyAlignment="1" pivotButton="0" quotePrefix="0" xfId="0">
      <alignment horizontal="center" vertical="center"/>
    </xf>
    <xf numFmtId="2" fontId="2" fillId="8" borderId="3" applyAlignment="1" pivotButton="0" quotePrefix="0" xfId="0">
      <alignment horizontal="center" vertical="center"/>
    </xf>
    <xf numFmtId="10" fontId="2" fillId="8" borderId="3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 wrapText="1"/>
    </xf>
    <xf numFmtId="0" fontId="3" fillId="11" borderId="2" applyAlignment="1" pivotButton="0" quotePrefix="0" xfId="0">
      <alignment horizontal="center" vertical="center" wrapText="1"/>
    </xf>
    <xf numFmtId="0" fontId="2" fillId="11" borderId="3" applyAlignment="1" pivotButton="0" quotePrefix="0" xfId="0">
      <alignment horizontal="center" vertical="center"/>
    </xf>
    <xf numFmtId="2" fontId="2" fillId="11" borderId="3" applyAlignment="1" pivotButton="0" quotePrefix="0" xfId="0">
      <alignment horizontal="center" vertical="center"/>
    </xf>
    <xf numFmtId="10" fontId="2" fillId="11" borderId="3" applyAlignment="1" pivotButton="0" quotePrefix="0" xfId="0">
      <alignment horizontal="center" vertical="center"/>
    </xf>
    <xf numFmtId="166" fontId="1" fillId="0" borderId="0" applyAlignment="1" pivotButton="0" quotePrefix="0" xfId="0">
      <alignment horizontal="left"/>
    </xf>
    <xf numFmtId="4" fontId="0" fillId="0" borderId="0" pivotButton="0" quotePrefix="0" xfId="0"/>
    <xf numFmtId="0" fontId="1" fillId="0" borderId="0" pivotButton="0" quotePrefix="0" xfId="0"/>
    <xf numFmtId="4" fontId="1" fillId="0" borderId="0" pivotButton="0" quotePrefix="0" xfId="0"/>
    <xf numFmtId="166" fontId="0" fillId="0" borderId="0" applyAlignment="1" pivotButton="0" quotePrefix="0" xfId="0">
      <alignment horizontal="left"/>
    </xf>
    <xf numFmtId="166" fontId="1" fillId="0" borderId="0" applyAlignment="1" pivotButton="0" quotePrefix="0" xfId="0">
      <alignment horizontal="left"/>
    </xf>
    <xf numFmtId="165" fontId="0" fillId="0" borderId="0" applyAlignment="1" pivotButton="0" quotePrefix="0" xfId="0">
      <alignment horizontal="left"/>
    </xf>
    <xf numFmtId="166" fontId="0" fillId="0" borderId="0" pivotButton="0" quotePrefix="0" xfId="0"/>
    <xf numFmtId="0" fontId="24" fillId="43" borderId="0" applyAlignment="1" pivotButton="0" quotePrefix="0" xfId="0">
      <alignment horizontal="center" vertical="center" wrapText="1"/>
    </xf>
    <xf numFmtId="0" fontId="25" fillId="44" borderId="12" applyAlignment="1" pivotButton="0" quotePrefix="0" xfId="0">
      <alignment horizontal="center" vertical="center" wrapText="1"/>
    </xf>
    <xf numFmtId="0" fontId="26" fillId="45" borderId="12" applyAlignment="1" pivotButton="0" quotePrefix="0" xfId="0">
      <alignment horizontal="left" vertical="center"/>
    </xf>
    <xf numFmtId="2" fontId="26" fillId="45" borderId="12" applyAlignment="1" pivotButton="0" quotePrefix="0" xfId="0">
      <alignment horizontal="right" vertical="center"/>
    </xf>
    <xf numFmtId="0" fontId="26" fillId="45" borderId="12" applyAlignment="1" pivotButton="0" quotePrefix="0" xfId="0">
      <alignment horizontal="right" vertical="center"/>
    </xf>
    <xf numFmtId="0" fontId="26" fillId="46" borderId="12" applyAlignment="1" pivotButton="0" quotePrefix="0" xfId="0">
      <alignment horizontal="left" vertical="center"/>
    </xf>
    <xf numFmtId="2" fontId="26" fillId="46" borderId="12" applyAlignment="1" pivotButton="0" quotePrefix="0" xfId="0">
      <alignment horizontal="right" vertical="center"/>
    </xf>
    <xf numFmtId="0" fontId="26" fillId="46" borderId="12" applyAlignment="1" pivotButton="0" quotePrefix="0" xfId="0">
      <alignment horizontal="right" vertical="center"/>
    </xf>
    <xf numFmtId="0" fontId="26" fillId="0" borderId="12" applyAlignment="1" pivotButton="0" quotePrefix="0" xfId="0">
      <alignment horizontal="left" vertical="center"/>
    </xf>
    <xf numFmtId="2" fontId="26" fillId="0" borderId="12" applyAlignment="1" pivotButton="0" quotePrefix="0" xfId="0">
      <alignment horizontal="right" vertical="center"/>
    </xf>
    <xf numFmtId="0" fontId="26" fillId="0" borderId="12" applyAlignment="1" pivotButton="0" quotePrefix="0" xfId="0">
      <alignment horizontal="right" vertical="center"/>
    </xf>
    <xf numFmtId="10" fontId="26" fillId="0" borderId="12" applyAlignment="1" pivotButton="0" quotePrefix="0" xfId="0">
      <alignment horizontal="right" vertical="center"/>
    </xf>
    <xf numFmtId="0" fontId="24" fillId="47" borderId="0" applyAlignment="1" pivotButton="0" quotePrefix="0" xfId="0">
      <alignment horizontal="center" vertical="center" wrapText="1"/>
    </xf>
    <xf numFmtId="0" fontId="25" fillId="48" borderId="12" applyAlignment="1" pivotButton="0" quotePrefix="0" xfId="0">
      <alignment horizontal="center" vertical="center" wrapText="1"/>
    </xf>
    <xf numFmtId="0" fontId="24" fillId="48" borderId="12" applyAlignment="1" pivotButton="0" quotePrefix="0" xfId="0">
      <alignment horizontal="left" vertical="center"/>
    </xf>
    <xf numFmtId="2" fontId="24" fillId="48" borderId="12" applyAlignment="1" pivotButton="0" quotePrefix="0" xfId="0">
      <alignment horizontal="right" vertical="center"/>
    </xf>
    <xf numFmtId="10" fontId="24" fillId="48" borderId="12" applyAlignment="1" pivotButton="0" quotePrefix="0" xfId="0">
      <alignment horizontal="right" vertical="center"/>
    </xf>
    <xf numFmtId="0" fontId="24" fillId="49" borderId="0" applyAlignment="1" pivotButton="0" quotePrefix="0" xfId="0">
      <alignment horizontal="center" vertical="center" wrapText="1"/>
    </xf>
    <xf numFmtId="0" fontId="25" fillId="50" borderId="12" applyAlignment="1" pivotButton="0" quotePrefix="0" xfId="0">
      <alignment horizontal="center" vertical="center" wrapText="1"/>
    </xf>
    <xf numFmtId="0" fontId="24" fillId="50" borderId="12" applyAlignment="1" pivotButton="0" quotePrefix="0" xfId="0">
      <alignment horizontal="left" vertical="center"/>
    </xf>
    <xf numFmtId="2" fontId="24" fillId="50" borderId="12" applyAlignment="1" pivotButton="0" quotePrefix="0" xfId="0">
      <alignment horizontal="right" vertical="center"/>
    </xf>
    <xf numFmtId="10" fontId="24" fillId="50" borderId="12" applyAlignment="1" pivotButton="0" quotePrefix="0" xfId="0">
      <alignment horizontal="right" vertical="center"/>
    </xf>
    <xf numFmtId="164" fontId="0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left"/>
    </xf>
    <xf numFmtId="165" fontId="1" fillId="0" borderId="0" applyAlignment="1" pivotButton="0" quotePrefix="0" xfId="0">
      <alignment horizontal="left"/>
    </xf>
    <xf numFmtId="164" fontId="0" fillId="0" borderId="0" pivotButton="0" quotePrefix="0" xfId="0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charset val="134"/>
        <strike val="0"/>
        <color theme="1"/>
        <sz val="11"/>
      </font>
      <numFmt numFmtId="176" formatCode="0.00_);[Red]\(0.00\)"/>
    </dxf>
    <dxf>
      <font>
        <name val="宋体"/>
        <charset val="134"/>
        <strike val="0"/>
        <color theme="1"/>
        <sz val="11"/>
      </font>
    </dxf>
    <dxf>
      <font>
        <name val="宋体"/>
        <charset val="134"/>
        <strike val="0"/>
        <color theme="1"/>
        <sz val="11"/>
      </font>
    </dxf>
    <dxf>
      <font>
        <name val="宋体"/>
        <charset val="134"/>
        <strike val="0"/>
        <color theme="1"/>
        <sz val="11"/>
      </font>
      <numFmt numFmtId="177" formatCode="#,##0.00_ "/>
      <alignment horizontal="left"/>
    </dxf>
    <dxf>
      <font>
        <name val="宋体"/>
        <charset val="134"/>
        <strike val="0"/>
        <color theme="1"/>
        <sz val="11"/>
      </font>
      <alignment horizontal="left"/>
    </dxf>
    <dxf>
      <font>
        <name val="宋体"/>
        <charset val="134"/>
        <strike val="0"/>
        <color theme="1"/>
        <sz val="11"/>
      </font>
      <numFmt numFmtId="4" formatCode="#,##0.00"/>
      <alignment horizontal="left"/>
    </dxf>
    <dxf>
      <font>
        <name val="宋体"/>
        <charset val="134"/>
        <strike val="0"/>
        <color theme="1"/>
        <sz val="11"/>
      </font>
      <numFmt numFmtId="178" formatCode="0.00_ ;[Red]\-0.00\ "/>
      <alignment horizontal="left"/>
    </dxf>
    <dxf>
      <font>
        <name val="宋体"/>
        <charset val="134"/>
        <strike val="0"/>
        <color theme="1"/>
        <sz val="11"/>
      </font>
      <numFmt numFmtId="4" formatCode="#,##0.00"/>
      <alignment horizontal="left"/>
    </dxf>
    <dxf>
      <font>
        <name val="宋体"/>
        <charset val="134"/>
        <strike val="0"/>
        <color theme="1"/>
        <sz val="11"/>
      </font>
      <numFmt numFmtId="4" formatCode="#,##0.00"/>
      <alignment horizontal="left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成本明细" displayName="成本明细" ref="A5:C43" headerRowCount="1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57:C62" headerRowCount="1" totalsRowShown="0">
  <autoFilter ref="A57:C62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34:C53" headerRowCount="1" totalsRowShown="0">
  <autoFilter ref="A34:C53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31:C96" headerRowCount="1">
  <autoFilter ref="A31:C9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100:C106" headerRowCount="1">
  <autoFilter ref="A100:C106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31:C37" headerRowCount="1">
  <autoFilter ref="A31:C37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41:C47" headerRowCount="1">
  <autoFilter ref="A41:C4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table" Target="/xl/tables/table5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6.xml" Id="rId1" /><Relationship Type="http://schemas.openxmlformats.org/officeDocument/2006/relationships/table" Target="/xl/tables/table7.xml" Id="rId2" 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C43"/>
  <sheetViews>
    <sheetView workbookViewId="0">
      <selection activeCell="A9" sqref="A9"/>
    </sheetView>
  </sheetViews>
  <sheetFormatPr baseColWidth="8" defaultColWidth="9" defaultRowHeight="16.8"/>
  <cols>
    <col width="23.75" customWidth="1" style="12" min="1" max="1"/>
    <col width="20.375" customWidth="1" min="2" max="2"/>
    <col width="37.25" customWidth="1" style="38" min="3" max="3"/>
  </cols>
  <sheetData>
    <row r="1" ht="15" customHeight="1">
      <c r="A1" s="12" t="inlineStr">
        <is>
          <t>总预算(元)</t>
        </is>
      </c>
      <c r="C1" s="9" t="n">
        <v>100000</v>
      </c>
    </row>
    <row r="2" ht="15" customHeight="1">
      <c r="A2" s="12" t="inlineStr">
        <is>
          <t>实际总花费(元)</t>
        </is>
      </c>
      <c r="C2" s="10">
        <f>SUM(成本明细[金额(元)])</f>
        <v/>
      </c>
    </row>
    <row r="3" ht="15" customHeight="1">
      <c r="A3" s="12" t="inlineStr">
        <is>
          <t>余额(元)</t>
        </is>
      </c>
      <c r="C3" s="10">
        <f>C1-C2</f>
        <v/>
      </c>
    </row>
    <row r="4" ht="15" customHeight="1"/>
    <row r="5" ht="15" customHeight="1">
      <c r="A5" s="12" t="inlineStr">
        <is>
          <t>金额(元)</t>
        </is>
      </c>
      <c r="B5" s="6" t="inlineStr">
        <is>
          <t>分类</t>
        </is>
      </c>
      <c r="C5" s="3" t="inlineStr">
        <is>
          <t>说明</t>
        </is>
      </c>
    </row>
    <row r="6" ht="15" customHeight="1">
      <c r="A6" s="41" t="n">
        <v>10000</v>
      </c>
      <c r="B6" t="inlineStr">
        <is>
          <t>房租</t>
        </is>
      </c>
      <c r="C6" s="3" t="inlineStr">
        <is>
          <t>房租押金</t>
        </is>
      </c>
    </row>
    <row r="7" ht="15" customHeight="1">
      <c r="A7" s="41" t="n">
        <v>26000</v>
      </c>
      <c r="B7" t="inlineStr">
        <is>
          <t>房租</t>
        </is>
      </c>
      <c r="C7" s="3" t="inlineStr">
        <is>
          <t>半年房租：年租金5.2万，半年付</t>
        </is>
      </c>
    </row>
    <row r="8" ht="15" customHeight="1">
      <c r="A8" s="41" t="n">
        <v>6000</v>
      </c>
      <c r="B8" t="inlineStr">
        <is>
          <t>装修</t>
        </is>
      </c>
      <c r="C8" s="3" t="inlineStr">
        <is>
          <t>装修押金</t>
        </is>
      </c>
    </row>
    <row r="9" ht="15" customHeight="1">
      <c r="A9" s="41" t="n">
        <v>3000</v>
      </c>
      <c r="B9" t="inlineStr">
        <is>
          <t>装修</t>
        </is>
      </c>
      <c r="C9" s="3" t="inlineStr">
        <is>
          <t>广告牌、灯牌费用</t>
        </is>
      </c>
    </row>
    <row r="10" ht="15" customHeight="1">
      <c r="A10" s="41" t="n">
        <v>2100</v>
      </c>
      <c r="B10" t="inlineStr">
        <is>
          <t>装修</t>
        </is>
      </c>
      <c r="C10" s="3" t="inlineStr">
        <is>
          <t>物业水管改造</t>
        </is>
      </c>
    </row>
    <row r="11" ht="15" customHeight="1">
      <c r="A11" s="41" t="n">
        <v>340</v>
      </c>
      <c r="B11" t="inlineStr">
        <is>
          <t>装修</t>
        </is>
      </c>
      <c r="C11" s="3" t="inlineStr">
        <is>
          <t>隔壁改装水电</t>
        </is>
      </c>
    </row>
    <row r="12" ht="15" customHeight="1">
      <c r="A12" s="41" t="n">
        <v>200</v>
      </c>
      <c r="B12" t="inlineStr">
        <is>
          <t>其他</t>
        </is>
      </c>
      <c r="C12" s="3" t="inlineStr">
        <is>
          <t>外卖商品照片</t>
        </is>
      </c>
    </row>
    <row r="13" ht="15" customHeight="1">
      <c r="A13" s="41" t="n">
        <v>11000</v>
      </c>
      <c r="B13" t="inlineStr">
        <is>
          <t>设备</t>
        </is>
      </c>
      <c r="C13" s="3" t="inlineStr">
        <is>
          <t>设备+零散材料</t>
        </is>
      </c>
    </row>
    <row r="14" ht="15" customHeight="1">
      <c r="A14" s="41" t="n">
        <v>5000</v>
      </c>
      <c r="B14" t="inlineStr">
        <is>
          <t>装修</t>
        </is>
      </c>
      <c r="C14" s="3" t="inlineStr">
        <is>
          <t>装修水电进场</t>
        </is>
      </c>
    </row>
    <row r="15" ht="15" customHeight="1">
      <c r="A15" s="41" t="n">
        <v>755</v>
      </c>
      <c r="B15" t="inlineStr">
        <is>
          <t>设备</t>
        </is>
      </c>
      <c r="C15" s="3" t="inlineStr">
        <is>
          <t>桌椅首批</t>
        </is>
      </c>
    </row>
    <row r="16" ht="15" customHeight="1">
      <c r="A16" s="41" t="n">
        <v>190</v>
      </c>
      <c r="B16" t="inlineStr">
        <is>
          <t>装修</t>
        </is>
      </c>
      <c r="C16" s="3" t="inlineStr">
        <is>
          <t>门头设计</t>
        </is>
      </c>
    </row>
    <row r="17" ht="15" customHeight="1">
      <c r="A17" s="41" t="n">
        <v>405.9</v>
      </c>
      <c r="B17" t="inlineStr">
        <is>
          <t>设备</t>
        </is>
      </c>
      <c r="C17" s="3" t="inlineStr">
        <is>
          <t>小票打印机</t>
        </is>
      </c>
    </row>
    <row r="18" ht="15" customHeight="1">
      <c r="A18" s="41" t="n">
        <v>228</v>
      </c>
      <c r="B18" t="inlineStr">
        <is>
          <t>设备</t>
        </is>
      </c>
      <c r="C18" s="3" t="inlineStr">
        <is>
          <t>烤肠机</t>
        </is>
      </c>
    </row>
    <row r="19" ht="15" customHeight="1">
      <c r="A19" s="41" t="n">
        <v>639.5</v>
      </c>
      <c r="B19" t="inlineStr">
        <is>
          <t>设备</t>
        </is>
      </c>
      <c r="C19" s="3" t="inlineStr">
        <is>
          <t>油烟机</t>
        </is>
      </c>
    </row>
    <row r="20" ht="15" customHeight="1">
      <c r="A20" s="41" t="n">
        <v>1259.1</v>
      </c>
      <c r="B20" t="inlineStr">
        <is>
          <t>设备</t>
        </is>
      </c>
      <c r="C20" s="3" t="inlineStr">
        <is>
          <t>小米手机</t>
        </is>
      </c>
    </row>
    <row r="21" ht="15" customHeight="1">
      <c r="A21" s="41" t="n">
        <v>1000</v>
      </c>
      <c r="B21" t="inlineStr">
        <is>
          <t>食材</t>
        </is>
      </c>
      <c r="C21" s="38" t="inlineStr">
        <is>
          <t>快驴充值</t>
        </is>
      </c>
    </row>
    <row r="22" ht="15" customHeight="1">
      <c r="A22" s="41" t="n">
        <v>13260</v>
      </c>
      <c r="B22" t="inlineStr">
        <is>
          <t>食材</t>
        </is>
      </c>
      <c r="C22" s="3" t="inlineStr">
        <is>
          <t>开店首批食材</t>
        </is>
      </c>
    </row>
    <row r="23" ht="15" customHeight="1">
      <c r="A23" s="41" t="n">
        <v>47.97</v>
      </c>
      <c r="B23" t="inlineStr">
        <is>
          <t>其他</t>
        </is>
      </c>
      <c r="C23" s="3" t="inlineStr">
        <is>
          <t>员工工作服</t>
        </is>
      </c>
    </row>
    <row r="24" ht="15" customHeight="1">
      <c r="A24" s="41" t="n">
        <v>276.1</v>
      </c>
      <c r="B24" t="inlineStr">
        <is>
          <t>其他</t>
        </is>
      </c>
      <c r="C24" s="3" t="inlineStr">
        <is>
          <t>扫码点餐物料</t>
        </is>
      </c>
    </row>
    <row r="25" ht="15" customHeight="1">
      <c r="A25" s="41" t="n">
        <v>6000</v>
      </c>
      <c r="B25" t="inlineStr">
        <is>
          <t>装修</t>
        </is>
      </c>
      <c r="C25" s="38" t="inlineStr">
        <is>
          <t>装修尾款</t>
        </is>
      </c>
    </row>
    <row r="26" ht="15" customHeight="1">
      <c r="A26" s="41" t="n">
        <v>640</v>
      </c>
      <c r="B26" t="inlineStr">
        <is>
          <t>装修</t>
        </is>
      </c>
      <c r="C26" s="38" t="inlineStr">
        <is>
          <t>外卖店铺装修</t>
        </is>
      </c>
    </row>
    <row r="27" ht="15" customHeight="1">
      <c r="A27" s="41" t="n">
        <v>500</v>
      </c>
      <c r="B27" t="inlineStr">
        <is>
          <t>推广</t>
        </is>
      </c>
      <c r="C27" s="38" t="inlineStr">
        <is>
          <t>外卖首日刷单</t>
        </is>
      </c>
    </row>
    <row r="28" ht="15" customHeight="1">
      <c r="A28" s="41" t="n">
        <v>600</v>
      </c>
      <c r="B28" t="inlineStr">
        <is>
          <t>推广</t>
        </is>
      </c>
      <c r="C28" s="38" t="inlineStr">
        <is>
          <t>淘宝300+美团300，首充</t>
        </is>
      </c>
    </row>
    <row r="29" ht="15" customHeight="1">
      <c r="A29" s="41" t="n">
        <v>938</v>
      </c>
      <c r="B29" t="inlineStr">
        <is>
          <t>食材</t>
        </is>
      </c>
      <c r="C29" s="38" t="inlineStr">
        <is>
          <t>包装盒补货</t>
        </is>
      </c>
    </row>
    <row r="30" ht="15" customHeight="1">
      <c r="A30" s="41" t="n">
        <v>1000</v>
      </c>
      <c r="B30" t="inlineStr">
        <is>
          <t>食材</t>
        </is>
      </c>
      <c r="C30" s="38" t="inlineStr">
        <is>
          <t>快驴充值</t>
        </is>
      </c>
    </row>
    <row r="31" ht="15" customHeight="1">
      <c r="A31" s="41" t="n">
        <v>60.5</v>
      </c>
      <c r="B31" t="inlineStr">
        <is>
          <t>食材</t>
        </is>
      </c>
      <c r="C31" s="38" t="inlineStr">
        <is>
          <t>火鸡面补货</t>
        </is>
      </c>
    </row>
    <row r="32" ht="15" customHeight="1">
      <c r="A32" s="41" t="n">
        <v>162.41</v>
      </c>
      <c r="B32" t="inlineStr">
        <is>
          <t>水电</t>
        </is>
      </c>
      <c r="C32" s="38" t="inlineStr">
        <is>
          <t>一月电费</t>
        </is>
      </c>
    </row>
    <row r="33" ht="15" customHeight="1">
      <c r="A33" s="41" t="n">
        <v>42.16</v>
      </c>
      <c r="B33" t="inlineStr">
        <is>
          <t>食材</t>
        </is>
      </c>
      <c r="C33" s="38" t="inlineStr">
        <is>
          <t>包装盒补货</t>
        </is>
      </c>
    </row>
    <row r="34" ht="15" customHeight="1">
      <c r="A34" s="41" t="n">
        <v>1000</v>
      </c>
      <c r="B34" t="inlineStr">
        <is>
          <t>食材</t>
        </is>
      </c>
      <c r="C34" s="38" t="inlineStr">
        <is>
          <t>快驴充值</t>
        </is>
      </c>
    </row>
    <row r="35" ht="15" customHeight="1">
      <c r="A35" s="42" t="n">
        <v>500</v>
      </c>
      <c r="B35" s="39" t="inlineStr">
        <is>
          <t>装修</t>
        </is>
      </c>
      <c r="C35" s="40" t="inlineStr">
        <is>
          <t>其他杂项：床+宽带</t>
        </is>
      </c>
    </row>
    <row r="36" ht="15" customHeight="1">
      <c r="A36" s="42" t="n">
        <v>1300</v>
      </c>
      <c r="B36" s="39" t="inlineStr">
        <is>
          <t>食材</t>
        </is>
      </c>
      <c r="C36" s="40" t="inlineStr">
        <is>
          <t>自购食材(非快驴、老家进货)</t>
        </is>
      </c>
    </row>
    <row r="37" ht="15" customHeight="1">
      <c r="A37" s="42" t="n">
        <v>253.84</v>
      </c>
      <c r="B37" s="39" t="inlineStr">
        <is>
          <t>食材</t>
        </is>
      </c>
      <c r="C37" s="40" t="inlineStr">
        <is>
          <t>火鸡面补货</t>
        </is>
      </c>
    </row>
    <row r="38" ht="15" customHeight="1">
      <c r="A38" s="42" t="n">
        <v>1000</v>
      </c>
      <c r="B38" s="39" t="inlineStr">
        <is>
          <t>食材</t>
        </is>
      </c>
      <c r="C38" s="40" t="inlineStr">
        <is>
          <t>快驴充值</t>
        </is>
      </c>
    </row>
    <row r="39" ht="15" customHeight="1">
      <c r="A39" s="42" t="n">
        <v>355.3</v>
      </c>
      <c r="B39" s="39" t="inlineStr">
        <is>
          <t>食材</t>
        </is>
      </c>
      <c r="C39" s="40" t="inlineStr">
        <is>
          <t>火鸡面补货</t>
        </is>
      </c>
    </row>
    <row r="40" ht="15" customHeight="1">
      <c r="A40" s="42" t="n">
        <v>3000</v>
      </c>
      <c r="B40" s="39" t="inlineStr">
        <is>
          <t>食材</t>
        </is>
      </c>
      <c r="C40" s="40" t="inlineStr">
        <is>
          <t>主食材补货</t>
        </is>
      </c>
    </row>
    <row r="41" ht="15" customHeight="1">
      <c r="A41" s="42" t="n">
        <v>174</v>
      </c>
      <c r="B41" s="39" t="inlineStr">
        <is>
          <t>食材</t>
        </is>
      </c>
      <c r="C41" s="40" t="inlineStr">
        <is>
          <t>火鸡面补货</t>
        </is>
      </c>
    </row>
    <row r="42" ht="15" customHeight="1">
      <c r="A42" s="42" t="n">
        <v>33.6</v>
      </c>
      <c r="B42" s="39" t="inlineStr">
        <is>
          <t>其他</t>
        </is>
      </c>
      <c r="C42" s="40" t="inlineStr">
        <is>
          <t>硅胶防烫套</t>
        </is>
      </c>
    </row>
    <row r="43" ht="15" customHeight="1">
      <c r="A43" s="42" t="n">
        <v>500</v>
      </c>
      <c r="B43" s="39" t="inlineStr">
        <is>
          <t>食材</t>
        </is>
      </c>
      <c r="C43" s="40" t="inlineStr">
        <is>
          <t>快驴充值</t>
        </is>
      </c>
    </row>
  </sheetData>
  <dataValidations count="2">
    <dataValidation sqref="F15:F16" showDropDown="0" showInputMessage="1" showErrorMessage="1" allowBlank="1" type="list">
      <formula1>"房租，装修，其他，设备，食材，推广，水电"</formula1>
    </dataValidation>
    <dataValidation sqref="B6:B42 B43 F5:F14" showDropDown="0" showInputMessage="1" showErrorMessage="1" allowBlank="1" type="list">
      <formula1>"房租,装修,其他,设备,食材,推广,水电"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/>
    <pageSetUpPr/>
  </sheetPr>
  <dimension ref="A1:C66"/>
  <sheetViews>
    <sheetView zoomScale="112" zoomScaleNormal="112" workbookViewId="0">
      <selection activeCell="E53" sqref="E53"/>
    </sheetView>
  </sheetViews>
  <sheetFormatPr baseColWidth="8" defaultColWidth="9" defaultRowHeight="15" customHeight="1"/>
  <cols>
    <col width="27.3365384615385" customWidth="1" min="1" max="1"/>
    <col width="28.75" customWidth="1" min="2" max="2"/>
    <col width="31.0384615384615" customWidth="1" min="3" max="3"/>
    <col width="20" customWidth="1" min="4" max="4"/>
    <col width="12" customWidth="1" min="5" max="5"/>
    <col width="13" customWidth="1" min="6" max="6"/>
    <col width="12" customWidth="1" min="7" max="7"/>
  </cols>
  <sheetData>
    <row r="1" ht="16.8" customHeight="1">
      <c r="A1" s="14" t="inlineStr">
        <is>
          <t>营收统计</t>
        </is>
      </c>
    </row>
    <row r="2" ht="16.8" customHeight="1">
      <c r="A2" s="15" t="inlineStr">
        <is>
          <t>指标</t>
        </is>
      </c>
      <c r="B2" s="15" t="inlineStr">
        <is>
          <t>数值</t>
        </is>
      </c>
      <c r="C2" s="16" t="inlineStr">
        <is>
          <t>单位</t>
        </is>
      </c>
    </row>
    <row r="3" ht="16.8" customHeight="1">
      <c r="A3" s="17" t="inlineStr">
        <is>
          <t>总收入</t>
        </is>
      </c>
      <c r="B3" s="18">
        <f>SUM(收入明细2602[收入明细])</f>
        <v/>
      </c>
      <c r="C3" s="17" t="inlineStr">
        <is>
          <t>元</t>
        </is>
      </c>
    </row>
    <row r="4" ht="16.8" customHeight="1">
      <c r="A4" s="19" t="inlineStr">
        <is>
          <t>总支出</t>
        </is>
      </c>
      <c r="B4" s="20">
        <f>SUM(支出明细2602[支出明细])</f>
        <v/>
      </c>
      <c r="C4" s="19" t="inlineStr">
        <is>
          <t>元</t>
        </is>
      </c>
    </row>
    <row r="5" ht="16.8" customHeight="1">
      <c r="A5" s="21" t="inlineStr">
        <is>
          <t>毛利润</t>
        </is>
      </c>
      <c r="B5" s="22">
        <f>$B$3-SUMIF(支出明细2602[分类],"食材",支出明细2602[支出明细])</f>
        <v/>
      </c>
      <c r="C5" s="21" t="inlineStr">
        <is>
          <t>元</t>
        </is>
      </c>
    </row>
    <row r="6" ht="16.8" customHeight="1">
      <c r="A6" s="21" t="inlineStr">
        <is>
          <t>净利润</t>
        </is>
      </c>
      <c r="B6" s="22">
        <f>$B$3-$B$4</f>
        <v/>
      </c>
      <c r="C6" s="21" t="inlineStr">
        <is>
          <t>元</t>
        </is>
      </c>
    </row>
    <row r="7" ht="16.8" customHeight="1">
      <c r="A7" s="21" t="inlineStr">
        <is>
          <t>毛利率</t>
        </is>
      </c>
      <c r="B7" s="23">
        <f>$B$5/$B$3</f>
        <v/>
      </c>
      <c r="C7" s="23">
        <f>$B$5/$B$3</f>
        <v/>
      </c>
    </row>
    <row r="8" ht="16.8" customHeight="1">
      <c r="A8" s="21" t="inlineStr">
        <is>
          <t>净利率</t>
        </is>
      </c>
      <c r="B8" s="23">
        <f>$B$6/$B$3</f>
        <v/>
      </c>
      <c r="C8" s="23">
        <f>$B$6/$B$3</f>
        <v/>
      </c>
    </row>
    <row r="9" ht="16.8" customHeight="1"/>
    <row r="10" ht="16.8" customHeight="1"/>
    <row r="11" ht="16.8" customHeight="1">
      <c r="A11" s="24" t="inlineStr">
        <is>
          <t>收入统计</t>
        </is>
      </c>
    </row>
    <row r="12" ht="16.8" customHeight="1">
      <c r="A12" s="25" t="inlineStr">
        <is>
          <t>渠道</t>
        </is>
      </c>
      <c r="B12" s="25" t="inlineStr">
        <is>
          <t>金额</t>
        </is>
      </c>
      <c r="C12" s="25" t="inlineStr">
        <is>
          <t>占比</t>
        </is>
      </c>
    </row>
    <row r="13" ht="16.8" customHeight="1">
      <c r="A13" s="21" t="inlineStr">
        <is>
          <t>淘宝外卖</t>
        </is>
      </c>
      <c r="B13" s="22">
        <f>SUMIF(收入明细2602[分类],"淘宝外卖",收入明细2602[收入明细])</f>
        <v/>
      </c>
      <c r="C13" s="23">
        <f>$B$13/$B$3</f>
        <v/>
      </c>
    </row>
    <row r="14" ht="16.8" customHeight="1">
      <c r="A14" s="26" t="inlineStr">
        <is>
          <t>美团外卖</t>
        </is>
      </c>
      <c r="B14" s="27">
        <f>SUMIF(收入明细2602[分类],"美团外卖",收入明细2602[收入明细])</f>
        <v/>
      </c>
      <c r="C14" s="28">
        <f>$B$14/$B$3</f>
        <v/>
      </c>
    </row>
    <row r="15" ht="16.8" customHeight="1">
      <c r="A15" s="21" t="inlineStr">
        <is>
          <t>微信堂食</t>
        </is>
      </c>
      <c r="B15" s="22">
        <f>SUMIF(收入明细2602[分类],"微信堂食",收入明细2602[收入明细])</f>
        <v/>
      </c>
      <c r="C15" s="23">
        <f>$B$15/$B$3</f>
        <v/>
      </c>
    </row>
    <row r="16" ht="16.8" customHeight="1">
      <c r="A16" s="26" t="inlineStr">
        <is>
          <t>支付宝堂食</t>
        </is>
      </c>
      <c r="B16" s="27">
        <f>SUMIF(收入明细2602[分类],"支付宝堂食",收入明细2602[收入明细])</f>
        <v/>
      </c>
      <c r="C16" s="28">
        <f>$B$16/$B$3</f>
        <v/>
      </c>
    </row>
    <row r="17" ht="16.8" customHeight="1">
      <c r="A17" s="21" t="inlineStr">
        <is>
          <t>京东外卖</t>
        </is>
      </c>
      <c r="B17" s="22">
        <f>SUMIF(收入明细2602[分类],"京东外卖",收入明细2602[收入明细])</f>
        <v/>
      </c>
      <c r="C17" s="23">
        <f>$B$17/$B$3</f>
        <v/>
      </c>
    </row>
    <row r="18" ht="16.8" customHeight="1">
      <c r="A18" s="29" t="inlineStr">
        <is>
          <t>合计</t>
        </is>
      </c>
      <c r="B18" s="30">
        <f>SUM(收入明细2602[收入明细])</f>
        <v/>
      </c>
      <c r="C18" s="31">
        <f>SUM($C$13:$C$17)</f>
        <v/>
      </c>
    </row>
    <row r="20" ht="16.8" customHeight="1"/>
    <row r="21" ht="16.8" customHeight="1">
      <c r="A21" s="32" t="inlineStr">
        <is>
          <t>支出统计</t>
        </is>
      </c>
    </row>
    <row r="22" ht="16.8" customHeight="1">
      <c r="A22" s="33" t="inlineStr">
        <is>
          <t>类别</t>
        </is>
      </c>
      <c r="B22" s="33" t="inlineStr">
        <is>
          <t>金额</t>
        </is>
      </c>
      <c r="C22" s="33" t="inlineStr">
        <is>
          <t>占比</t>
        </is>
      </c>
    </row>
    <row r="23" ht="16.8" customHeight="1">
      <c r="A23" s="26" t="inlineStr">
        <is>
          <t>食材</t>
        </is>
      </c>
      <c r="B23" s="27">
        <f>SUMIF(支出明细2602[分类],"食材",支出明细2602[支出明细])</f>
        <v/>
      </c>
      <c r="C23" s="28">
        <f>$B$23/$B$4</f>
        <v/>
      </c>
    </row>
    <row r="24" ht="16.8" customHeight="1">
      <c r="A24" s="21" t="inlineStr">
        <is>
          <t>工资</t>
        </is>
      </c>
      <c r="B24" s="22">
        <f>SUMIF(支出明细2602[分类],"工资",支出明细2602[支出明细])</f>
        <v/>
      </c>
      <c r="C24" s="23">
        <f>$B$24/$B$4</f>
        <v/>
      </c>
    </row>
    <row r="25" ht="16.8" customHeight="1">
      <c r="A25" s="26" t="inlineStr">
        <is>
          <t>房租</t>
        </is>
      </c>
      <c r="B25" s="27">
        <f>SUMIF(支出明细2602[分类],"房租",支出明细2602[支出明细])</f>
        <v/>
      </c>
      <c r="C25" s="28">
        <f>$B$25/$B$4</f>
        <v/>
      </c>
    </row>
    <row r="26" ht="16.8" customHeight="1">
      <c r="A26" s="21" t="inlineStr">
        <is>
          <t>推广</t>
        </is>
      </c>
      <c r="B26" s="22">
        <f>SUMIF(支出明细2602[分类],"推广",支出明细2602[支出明细])</f>
        <v/>
      </c>
      <c r="C26" s="23">
        <f>$B$26/$B$4</f>
        <v/>
      </c>
    </row>
    <row r="27" ht="16.8" customHeight="1">
      <c r="A27" s="26" t="inlineStr">
        <is>
          <t>水电</t>
        </is>
      </c>
      <c r="B27" s="27">
        <f>SUMIF(支出明细2602[分类],"水电",支出明细2602[支出明细])</f>
        <v/>
      </c>
      <c r="C27" s="28">
        <f>$B$27/$B$4</f>
        <v/>
      </c>
    </row>
    <row r="28" ht="16.8" customHeight="1">
      <c r="A28" s="21" t="inlineStr">
        <is>
          <t>其他</t>
        </is>
      </c>
      <c r="B28" s="22">
        <f>SUMIF(支出明细2602[分类],"其他",支出明细2602[支出明细])</f>
        <v/>
      </c>
      <c r="C28" s="23">
        <f>$B$28/$B$4</f>
        <v/>
      </c>
    </row>
    <row r="29" ht="16.8" customHeight="1">
      <c r="A29" s="34" t="inlineStr">
        <is>
          <t>合计</t>
        </is>
      </c>
      <c r="B29" s="35">
        <f>SUM(支出明细2602[支出明细])</f>
        <v/>
      </c>
      <c r="C29" s="36">
        <f>SUM($C$23:$C$28)</f>
        <v/>
      </c>
    </row>
    <row r="34" ht="22" customHeight="1">
      <c r="A34" s="41" t="inlineStr">
        <is>
          <t>支出明细</t>
        </is>
      </c>
      <c r="B34" s="3" t="inlineStr">
        <is>
          <t>分类</t>
        </is>
      </c>
      <c r="C34" s="3" t="inlineStr">
        <is>
          <t>说明</t>
        </is>
      </c>
    </row>
    <row r="35" ht="22" customHeight="1">
      <c r="A35" s="41" t="n">
        <v>4333</v>
      </c>
      <c r="B35" s="3" t="inlineStr">
        <is>
          <t>房租</t>
        </is>
      </c>
      <c r="C35" s="3" t="inlineStr">
        <is>
          <t>月租金</t>
        </is>
      </c>
    </row>
    <row r="36" ht="22" customHeight="1">
      <c r="A36" s="41" t="n">
        <v>8500</v>
      </c>
      <c r="B36" s="3" t="inlineStr">
        <is>
          <t>工资</t>
        </is>
      </c>
      <c r="C36" s="3" t="inlineStr">
        <is>
          <t>员工工资</t>
        </is>
      </c>
    </row>
    <row r="37" ht="16.8" customHeight="1">
      <c r="A37" s="41" t="n">
        <v>1000</v>
      </c>
      <c r="B37" s="3" t="inlineStr">
        <is>
          <t>食材</t>
        </is>
      </c>
      <c r="C37" s="3" t="inlineStr">
        <is>
          <t>快驴充值</t>
        </is>
      </c>
    </row>
    <row r="38" ht="20" customHeight="1">
      <c r="A38" s="41" t="n">
        <v>13260</v>
      </c>
      <c r="B38" s="3" t="inlineStr">
        <is>
          <t>食材</t>
        </is>
      </c>
      <c r="C38" s="3" t="inlineStr">
        <is>
          <t>开店首批食材</t>
        </is>
      </c>
    </row>
    <row r="39" ht="16.8" customHeight="1">
      <c r="A39" s="41" t="n">
        <v>600</v>
      </c>
      <c r="B39" s="3" t="inlineStr">
        <is>
          <t>推广</t>
        </is>
      </c>
      <c r="C39" s="3" t="inlineStr">
        <is>
          <t>淘宝300+美团300，首充</t>
        </is>
      </c>
    </row>
    <row r="40" ht="16.8" customHeight="1">
      <c r="A40" s="41" t="n">
        <v>938</v>
      </c>
      <c r="B40" s="3" t="inlineStr">
        <is>
          <t>食材</t>
        </is>
      </c>
      <c r="C40" s="3" t="inlineStr">
        <is>
          <t>包装盒补货</t>
        </is>
      </c>
    </row>
    <row r="41" ht="16.8" customHeight="1">
      <c r="A41" s="41" t="n">
        <v>1000</v>
      </c>
      <c r="B41" s="3" t="inlineStr">
        <is>
          <t>食材</t>
        </is>
      </c>
      <c r="C41" s="3" t="inlineStr">
        <is>
          <t>快驴充值</t>
        </is>
      </c>
    </row>
    <row r="42" ht="16.8" customHeight="1">
      <c r="A42" s="41" t="n">
        <v>60.5</v>
      </c>
      <c r="B42" s="3" t="inlineStr">
        <is>
          <t>食材</t>
        </is>
      </c>
      <c r="C42" s="3" t="inlineStr">
        <is>
          <t>火鸡面补货</t>
        </is>
      </c>
    </row>
    <row r="43" ht="16.8" customHeight="1">
      <c r="A43" s="41" t="n">
        <v>162.41</v>
      </c>
      <c r="B43" s="3" t="inlineStr">
        <is>
          <t>水电</t>
        </is>
      </c>
      <c r="C43" s="3" t="inlineStr">
        <is>
          <t>一月电费</t>
        </is>
      </c>
    </row>
    <row r="44" ht="16.8" customHeight="1">
      <c r="A44" s="41" t="n">
        <v>42.16</v>
      </c>
      <c r="B44" s="3" t="inlineStr">
        <is>
          <t>食材</t>
        </is>
      </c>
      <c r="C44" s="3" t="inlineStr">
        <is>
          <t>包装盒补货</t>
        </is>
      </c>
    </row>
    <row r="45" ht="16.8" customHeight="1">
      <c r="A45" s="41" t="n">
        <v>1000</v>
      </c>
      <c r="B45" s="3" t="inlineStr">
        <is>
          <t>食材</t>
        </is>
      </c>
      <c r="C45" s="3" t="inlineStr">
        <is>
          <t>快驴充值</t>
        </is>
      </c>
    </row>
    <row r="46" ht="16.8" customHeight="1">
      <c r="A46" s="42" t="n">
        <v>1300</v>
      </c>
      <c r="B46" s="5" t="inlineStr">
        <is>
          <t>食材</t>
        </is>
      </c>
      <c r="C46" s="5" t="inlineStr">
        <is>
          <t>老池自购食材</t>
        </is>
      </c>
    </row>
    <row r="47" ht="20" customHeight="1">
      <c r="A47" s="42" t="n">
        <v>253.84</v>
      </c>
      <c r="B47" s="5" t="inlineStr">
        <is>
          <t>食材</t>
        </is>
      </c>
      <c r="C47" s="5" t="inlineStr">
        <is>
          <t>火鸡面补货</t>
        </is>
      </c>
    </row>
    <row r="48" ht="16.8" customHeight="1">
      <c r="A48" s="42" t="n">
        <v>1000</v>
      </c>
      <c r="B48" s="5" t="inlineStr">
        <is>
          <t>食材</t>
        </is>
      </c>
      <c r="C48" s="3" t="inlineStr">
        <is>
          <t>快驴充值</t>
        </is>
      </c>
    </row>
    <row r="49" ht="16.8" customHeight="1">
      <c r="A49" s="42" t="n">
        <v>355.3</v>
      </c>
      <c r="B49" s="5" t="inlineStr">
        <is>
          <t>食材</t>
        </is>
      </c>
      <c r="C49" s="5" t="inlineStr">
        <is>
          <t>火鸡面补货</t>
        </is>
      </c>
    </row>
    <row r="50" ht="16.8" customHeight="1">
      <c r="A50" s="42" t="n">
        <v>3000</v>
      </c>
      <c r="B50" s="5" t="inlineStr">
        <is>
          <t>食材</t>
        </is>
      </c>
      <c r="C50" s="5" t="inlineStr">
        <is>
          <t>主食材补货</t>
        </is>
      </c>
    </row>
    <row r="51" ht="16.8" customHeight="1">
      <c r="A51" s="42" t="n">
        <v>174</v>
      </c>
      <c r="B51" s="5" t="inlineStr">
        <is>
          <t>食材</t>
        </is>
      </c>
      <c r="C51" s="5" t="inlineStr">
        <is>
          <t>火鸡面补货</t>
        </is>
      </c>
    </row>
    <row r="52" ht="16.8" customHeight="1">
      <c r="A52" s="42" t="n">
        <v>33.6</v>
      </c>
      <c r="B52" s="5" t="inlineStr">
        <is>
          <t>其他</t>
        </is>
      </c>
      <c r="C52" s="5" t="inlineStr">
        <is>
          <t>硅胶防烫套</t>
        </is>
      </c>
    </row>
    <row r="53" ht="16.8" customHeight="1">
      <c r="A53" s="42" t="n">
        <v>500</v>
      </c>
      <c r="B53" s="5" t="inlineStr">
        <is>
          <t>食材</t>
        </is>
      </c>
      <c r="C53" s="5" t="inlineStr">
        <is>
          <t>快驴充值</t>
        </is>
      </c>
    </row>
    <row r="54" ht="16.8" customHeight="1">
      <c r="A54" s="12" t="n"/>
      <c r="B54" s="6" t="n"/>
      <c r="C54" s="3" t="n"/>
    </row>
    <row r="55" ht="16.8" customHeight="1">
      <c r="A55" s="12" t="n"/>
      <c r="B55" s="6" t="n"/>
      <c r="C55" s="3" t="n"/>
    </row>
    <row r="56" ht="16.8" customHeight="1">
      <c r="A56" s="12" t="n"/>
      <c r="B56" s="6" t="n"/>
      <c r="C56" s="3" t="n"/>
    </row>
    <row r="57" ht="16.8" customHeight="1">
      <c r="A57" s="12" t="inlineStr">
        <is>
          <t>收入明细</t>
        </is>
      </c>
      <c r="B57" s="6" t="inlineStr">
        <is>
          <t>分类</t>
        </is>
      </c>
      <c r="C57" s="3" t="inlineStr">
        <is>
          <t>说明</t>
        </is>
      </c>
    </row>
    <row r="58" ht="16.8" customHeight="1">
      <c r="A58" s="43" t="n">
        <v>6683.96</v>
      </c>
      <c r="B58" s="6" t="inlineStr">
        <is>
          <t>微信堂食</t>
        </is>
      </c>
      <c r="C58" s="3" t="n"/>
    </row>
    <row r="59" ht="16.8" customHeight="1">
      <c r="A59" s="43" t="n">
        <v>1861.8</v>
      </c>
      <c r="B59" s="6" t="inlineStr">
        <is>
          <t>支付宝堂食</t>
        </is>
      </c>
      <c r="C59" s="3" t="n"/>
    </row>
    <row r="60" ht="16.8" customHeight="1">
      <c r="A60" s="43" t="n">
        <v>0</v>
      </c>
      <c r="B60" s="6" t="inlineStr">
        <is>
          <t>京东外卖</t>
        </is>
      </c>
      <c r="C60" s="3" t="n"/>
    </row>
    <row r="61" ht="16.8" customHeight="1">
      <c r="A61" s="43" t="n">
        <v>19919.1</v>
      </c>
      <c r="B61" s="6" t="inlineStr">
        <is>
          <t>淘宝外卖</t>
        </is>
      </c>
      <c r="C61" s="3" t="n"/>
    </row>
    <row r="62" ht="16.8" customHeight="1">
      <c r="A62" s="43" t="n">
        <v>13970.88</v>
      </c>
      <c r="B62" s="6" t="inlineStr">
        <is>
          <t>美团外卖</t>
        </is>
      </c>
      <c r="C62" s="3" t="n"/>
    </row>
    <row r="65" ht="16.8" customHeight="1">
      <c r="A65" s="12" t="n"/>
      <c r="B65" s="44" t="n"/>
      <c r="C65" s="9" t="n"/>
    </row>
    <row r="66" ht="16.8" customHeight="1">
      <c r="A66" s="12" t="n"/>
      <c r="B66" s="44" t="n"/>
      <c r="C66" s="10" t="n"/>
    </row>
  </sheetData>
  <mergeCells count="3">
    <mergeCell ref="A1:C1"/>
    <mergeCell ref="A11:C11"/>
    <mergeCell ref="A21:C21"/>
  </mergeCells>
  <dataValidations count="2">
    <dataValidation sqref="B49:B53" showDropDown="0" showInputMessage="1" showErrorMessage="1" allowBlank="1" type="list">
      <formula1>"房租,装修,其他,设备,食材,推广,水电"</formula1>
    </dataValidation>
    <dataValidation sqref="B35:B48" showDropDown="0" showInputMessage="1" showErrorMessage="1" allowBlank="1" type="list">
      <formula1>"房租,其他,食材,推广,水电,工资"</formula1>
    </dataValidation>
  </dataValidations>
  <pageMargins left="0.7" right="0.7" top="0.75" bottom="0.75" header="0.3" footer="0.3"/>
  <pageSetup orientation="portrait" paperSize="9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0"/>
    <pageSetUpPr/>
  </sheetPr>
  <dimension ref="A1:C110"/>
  <sheetViews>
    <sheetView workbookViewId="0">
      <selection activeCell="A1" sqref="$A1:$XFD1"/>
    </sheetView>
  </sheetViews>
  <sheetFormatPr baseColWidth="8" defaultColWidth="9" defaultRowHeight="15" customHeight="1"/>
  <cols>
    <col width="21.125" customWidth="1" min="1" max="1"/>
    <col width="24.3557692307692" customWidth="1" min="2" max="2"/>
    <col width="108.173076923077" customWidth="1" min="3" max="3"/>
  </cols>
  <sheetData>
    <row r="1">
      <c r="A1" s="45" t="inlineStr">
        <is>
          <t>营收统计</t>
        </is>
      </c>
    </row>
    <row r="2">
      <c r="A2" s="46" t="inlineStr">
        <is>
          <t>指标</t>
        </is>
      </c>
      <c r="B2" s="46" t="inlineStr">
        <is>
          <t>数值</t>
        </is>
      </c>
      <c r="C2" s="46" t="inlineStr">
        <is>
          <t>单位</t>
        </is>
      </c>
    </row>
    <row r="3">
      <c r="A3" s="47" t="inlineStr">
        <is>
          <t>总收入</t>
        </is>
      </c>
      <c r="B3" s="48">
        <f>SUM(收入明细2603[收入明细])</f>
        <v/>
      </c>
      <c r="C3" s="49" t="inlineStr">
        <is>
          <t>元</t>
        </is>
      </c>
    </row>
    <row r="4">
      <c r="A4" s="50" t="inlineStr">
        <is>
          <t>总支出</t>
        </is>
      </c>
      <c r="B4" s="51">
        <f>SUM(支出明细2603[支出明细])</f>
        <v/>
      </c>
      <c r="C4" s="52" t="inlineStr">
        <is>
          <t>元</t>
        </is>
      </c>
    </row>
    <row r="5">
      <c r="A5" s="53" t="inlineStr">
        <is>
          <t>毛利润</t>
        </is>
      </c>
      <c r="B5" s="54">
        <f>$B$3-SUMIF(支出明细2603[分类],"食材",支出明细2603[支出明细])</f>
        <v/>
      </c>
      <c r="C5" s="55" t="inlineStr">
        <is>
          <t>元</t>
        </is>
      </c>
    </row>
    <row r="6">
      <c r="A6" s="53" t="inlineStr">
        <is>
          <t>净利润</t>
        </is>
      </c>
      <c r="B6" s="54">
        <f>$B$3-$B$4</f>
        <v/>
      </c>
      <c r="C6" s="55" t="inlineStr">
        <is>
          <t>元</t>
        </is>
      </c>
    </row>
    <row r="7">
      <c r="A7" s="53" t="inlineStr">
        <is>
          <t>毛利率</t>
        </is>
      </c>
      <c r="B7" s="56">
        <f>$B$5/$B$3</f>
        <v/>
      </c>
      <c r="C7" s="55" t="inlineStr">
        <is>
          <t>%</t>
        </is>
      </c>
    </row>
    <row r="8">
      <c r="A8" s="53" t="inlineStr">
        <is>
          <t>净利率</t>
        </is>
      </c>
      <c r="B8" s="56">
        <f>$B$6/$B$3</f>
        <v/>
      </c>
      <c r="C8" s="55" t="inlineStr">
        <is>
          <t>%</t>
        </is>
      </c>
    </row>
    <row r="11">
      <c r="A11" s="57" t="inlineStr">
        <is>
          <t>收入统计</t>
        </is>
      </c>
    </row>
    <row r="12">
      <c r="A12" s="58" t="inlineStr">
        <is>
          <t>渠道</t>
        </is>
      </c>
      <c r="B12" s="58" t="inlineStr">
        <is>
          <t>金额</t>
        </is>
      </c>
      <c r="C12" s="58" t="inlineStr">
        <is>
          <t>占比</t>
        </is>
      </c>
    </row>
    <row r="13">
      <c r="A13" s="53" t="inlineStr">
        <is>
          <t>淘宝外卖</t>
        </is>
      </c>
      <c r="B13" s="54">
        <f>SUMIF(收入明细2603[分类],"淘宝外卖",收入明细2603[收入明细])</f>
        <v/>
      </c>
      <c r="C13" s="56">
        <f>$B$13/$B$3</f>
        <v/>
      </c>
    </row>
    <row r="14">
      <c r="A14" s="53" t="inlineStr">
        <is>
          <t>美团外卖</t>
        </is>
      </c>
      <c r="B14" s="54">
        <f>SUMIF(收入明细2603[分类],"美团外卖",收入明细2603[收入明细])</f>
        <v/>
      </c>
      <c r="C14" s="56">
        <f>$B$14/$B$3</f>
        <v/>
      </c>
    </row>
    <row r="15">
      <c r="A15" s="53" t="inlineStr">
        <is>
          <t>微信堂食</t>
        </is>
      </c>
      <c r="B15" s="54">
        <f>SUMIF(收入明细2603[分类],"微信堂食",收入明细2603[收入明细])</f>
        <v/>
      </c>
      <c r="C15" s="56">
        <f>$B$15/$B$3</f>
        <v/>
      </c>
    </row>
    <row r="16">
      <c r="A16" s="53" t="inlineStr">
        <is>
          <t>支付宝堂食</t>
        </is>
      </c>
      <c r="B16" s="54">
        <f>SUMIF(收入明细2603[分类],"支付宝堂食",收入明细2603[收入明细])</f>
        <v/>
      </c>
      <c r="C16" s="56">
        <f>$B$16/$B$3</f>
        <v/>
      </c>
    </row>
    <row r="17">
      <c r="A17" s="53" t="inlineStr">
        <is>
          <t>京东外卖</t>
        </is>
      </c>
      <c r="B17" s="54">
        <f>SUMIF(收入明细2603[分类],"京东外卖",收入明细2603[收入明细])</f>
        <v/>
      </c>
      <c r="C17" s="56">
        <f>$B$17/$B$3</f>
        <v/>
      </c>
    </row>
    <row r="18">
      <c r="A18" s="59" t="inlineStr">
        <is>
          <t>合计</t>
        </is>
      </c>
      <c r="B18" s="60">
        <f>SUM(B13:B17)</f>
        <v/>
      </c>
      <c r="C18" s="61">
        <f>SUM($C$13:$C$17)</f>
        <v/>
      </c>
    </row>
    <row r="20">
      <c r="A20" s="62" t="inlineStr">
        <is>
          <t>支出统计</t>
        </is>
      </c>
    </row>
    <row r="21">
      <c r="A21" s="63" t="inlineStr">
        <is>
          <t>类别</t>
        </is>
      </c>
      <c r="B21" s="63" t="inlineStr">
        <is>
          <t>金额</t>
        </is>
      </c>
      <c r="C21" s="63" t="inlineStr">
        <is>
          <t>占比</t>
        </is>
      </c>
    </row>
    <row r="22">
      <c r="A22" s="53" t="inlineStr">
        <is>
          <t>食材</t>
        </is>
      </c>
      <c r="B22" s="54">
        <f>SUMIF(支出明细2603[分类],"食材",支出明细2603[支出明细])</f>
        <v/>
      </c>
      <c r="C22" s="56">
        <f>$B$22/$B$4</f>
        <v/>
      </c>
    </row>
    <row r="23">
      <c r="A23" s="53" t="inlineStr">
        <is>
          <t>工资</t>
        </is>
      </c>
      <c r="B23" s="54">
        <f>SUMIF(支出明细2603[分类],"工资",支出明细2603[支出明细])</f>
        <v/>
      </c>
      <c r="C23" s="56">
        <f>$B$23/$B$4</f>
        <v/>
      </c>
    </row>
    <row r="24">
      <c r="A24" s="53" t="inlineStr">
        <is>
          <t>房租</t>
        </is>
      </c>
      <c r="B24" s="54">
        <f>SUMIF(支出明细2603[分类],"房租",支出明细2603[支出明细])</f>
        <v/>
      </c>
      <c r="C24" s="56">
        <f>$B$24/$B$4</f>
        <v/>
      </c>
    </row>
    <row r="25">
      <c r="A25" s="53" t="inlineStr">
        <is>
          <t>推广</t>
        </is>
      </c>
      <c r="B25" s="54">
        <f>SUMIF(支出明细2603[分类],"推广",支出明细2603[支出明细])</f>
        <v/>
      </c>
      <c r="C25" s="56">
        <f>$B$25/$B$4</f>
        <v/>
      </c>
    </row>
    <row r="26">
      <c r="A26" s="53" t="inlineStr">
        <is>
          <t>水电</t>
        </is>
      </c>
      <c r="B26" s="54">
        <f>SUMIF(支出明细2603[分类],"水电",支出明细2603[支出明细])</f>
        <v/>
      </c>
      <c r="C26" s="56">
        <f>$B$26/$B$4</f>
        <v/>
      </c>
    </row>
    <row r="27">
      <c r="A27" s="53" t="inlineStr">
        <is>
          <t>其他</t>
        </is>
      </c>
      <c r="B27" s="54">
        <f>SUMIF(支出明细2603[分类],"其他",支出明细2603[支出明细])</f>
        <v/>
      </c>
      <c r="C27" s="56">
        <f>$B$27/$B$4</f>
        <v/>
      </c>
    </row>
    <row r="28">
      <c r="A28" s="64" t="inlineStr">
        <is>
          <t>合计</t>
        </is>
      </c>
      <c r="B28" s="65">
        <f>SUM(B22:B27)</f>
        <v/>
      </c>
      <c r="C28" s="66">
        <f>SUM($C$22:$C$27)</f>
        <v/>
      </c>
    </row>
    <row r="31">
      <c r="A31" s="41" t="inlineStr">
        <is>
          <t>支出明细</t>
        </is>
      </c>
      <c r="B31" s="3" t="inlineStr">
        <is>
          <t>分类</t>
        </is>
      </c>
      <c r="C31" s="3" t="inlineStr">
        <is>
          <t>说明</t>
        </is>
      </c>
    </row>
    <row r="32">
      <c r="A32" s="67" t="n">
        <v>4333</v>
      </c>
      <c r="B32" s="3" t="inlineStr">
        <is>
          <t>房租</t>
        </is>
      </c>
      <c r="C32" s="3" t="inlineStr">
        <is>
          <t>月租金</t>
        </is>
      </c>
    </row>
    <row r="33">
      <c r="A33" s="67" t="n">
        <v>15000</v>
      </c>
      <c r="B33" s="3" t="inlineStr">
        <is>
          <t>工资</t>
        </is>
      </c>
      <c r="C33" s="3" t="inlineStr">
        <is>
          <t>暂未支付</t>
        </is>
      </c>
    </row>
    <row r="34">
      <c r="A34" s="67" t="n">
        <v>3000</v>
      </c>
      <c r="B34" s="3" t="inlineStr">
        <is>
          <t>水电</t>
        </is>
      </c>
      <c r="C34" s="3" t="inlineStr">
        <is>
          <t>暂未支付</t>
        </is>
      </c>
    </row>
    <row r="35">
      <c r="A35" s="67" t="n">
        <v>4140</v>
      </c>
      <c r="B35" s="3" t="inlineStr">
        <is>
          <t>食材</t>
        </is>
      </c>
      <c r="C35" s="3" t="inlineStr">
        <is>
          <t>芋头小笼120斤*12，肉燕120斤*22.5，菜探长进货</t>
        </is>
      </c>
    </row>
    <row r="36">
      <c r="A36" s="67" t="n">
        <v>7866</v>
      </c>
      <c r="B36" s="5" t="inlineStr">
        <is>
          <t>食材</t>
        </is>
      </c>
      <c r="C36" s="5" t="inlineStr">
        <is>
          <t>肉片300斤*8，高级肉片199斤*9，香菇小笼100斤*11，肉燕100斤*18，鸡翅320，运费455，硕美进货</t>
        </is>
      </c>
    </row>
    <row r="37">
      <c r="A37" s="67" t="n">
        <v>28.64</v>
      </c>
      <c r="B37" s="5" t="inlineStr">
        <is>
          <t>其他</t>
        </is>
      </c>
      <c r="C37" s="5" t="inlineStr">
        <is>
          <t>PE食品保鲜袋</t>
        </is>
      </c>
    </row>
    <row r="38">
      <c r="A38" s="67" t="n">
        <v>44.48</v>
      </c>
      <c r="B38" s="5" t="inlineStr">
        <is>
          <t>食材</t>
        </is>
      </c>
      <c r="C38" s="5" t="inlineStr">
        <is>
          <t>火鸡面补货</t>
        </is>
      </c>
    </row>
    <row r="39">
      <c r="A39" s="67" t="n">
        <v>3000</v>
      </c>
      <c r="B39" s="5" t="inlineStr">
        <is>
          <t>食材</t>
        </is>
      </c>
      <c r="C39" s="5" t="inlineStr">
        <is>
          <t>快驴充值</t>
        </is>
      </c>
    </row>
    <row r="40">
      <c r="A40" s="67" t="n">
        <v>23</v>
      </c>
      <c r="B40" s="5" t="inlineStr">
        <is>
          <t>食材</t>
        </is>
      </c>
      <c r="C40" s="5" t="inlineStr">
        <is>
          <t>食材调味粉</t>
        </is>
      </c>
    </row>
    <row r="41">
      <c r="A41" s="67" t="n">
        <v>468</v>
      </c>
      <c r="B41" s="5" t="inlineStr">
        <is>
          <t>食材</t>
        </is>
      </c>
      <c r="C41" s="5" t="inlineStr">
        <is>
          <t>1280圆打包盒900个，0.52/个</t>
        </is>
      </c>
    </row>
    <row r="42">
      <c r="A42" s="67" t="n">
        <v>385</v>
      </c>
      <c r="B42" s="5" t="inlineStr">
        <is>
          <t>食材</t>
        </is>
      </c>
      <c r="C42" s="5" t="inlineStr">
        <is>
          <t>1000圆打包盒1000个，0.385/个</t>
        </is>
      </c>
    </row>
    <row r="43">
      <c r="A43" s="67" t="n">
        <v>295</v>
      </c>
      <c r="B43" s="5" t="inlineStr">
        <is>
          <t>食材</t>
        </is>
      </c>
      <c r="C43" s="5" t="inlineStr">
        <is>
          <t>鸡翅10斤</t>
        </is>
      </c>
    </row>
    <row r="44">
      <c r="A44" s="67" t="n">
        <v>718</v>
      </c>
      <c r="B44" s="5" t="inlineStr">
        <is>
          <t>食材</t>
        </is>
      </c>
      <c r="C44" s="5" t="inlineStr">
        <is>
          <t>普福店调货补给老李（此处被老李算错账）</t>
        </is>
      </c>
    </row>
    <row r="45">
      <c r="A45" s="67" t="n">
        <v>57.6</v>
      </c>
      <c r="B45" s="5" t="inlineStr">
        <is>
          <t>食材</t>
        </is>
      </c>
      <c r="C45" s="5" t="inlineStr">
        <is>
          <t>外卖盒子临时补货</t>
        </is>
      </c>
    </row>
    <row r="46">
      <c r="A46" s="67" t="n">
        <v>302.5</v>
      </c>
      <c r="B46" s="5" t="inlineStr">
        <is>
          <t>食材</t>
        </is>
      </c>
      <c r="C46" s="5" t="inlineStr">
        <is>
          <t>火鸡面拼多多补货5箱共150袋</t>
        </is>
      </c>
    </row>
    <row r="47">
      <c r="A47" s="67" t="n">
        <v>400</v>
      </c>
      <c r="B47" s="5" t="inlineStr">
        <is>
          <t>推广</t>
        </is>
      </c>
      <c r="C47" s="5" t="inlineStr">
        <is>
          <t>美团外卖推广</t>
        </is>
      </c>
    </row>
    <row r="48">
      <c r="A48" s="68" t="n">
        <v>225</v>
      </c>
      <c r="B48" s="5" t="inlineStr">
        <is>
          <t>食材</t>
        </is>
      </c>
      <c r="C48" s="5" t="inlineStr">
        <is>
          <t>750圆打包盒600个，0.375/个</t>
        </is>
      </c>
    </row>
    <row r="49">
      <c r="A49" s="68" t="n">
        <v>350</v>
      </c>
      <c r="B49" s="5" t="inlineStr">
        <is>
          <t>食材</t>
        </is>
      </c>
      <c r="C49" s="5" t="inlineStr">
        <is>
          <t>一次性餐具(筷子+勺子)，70元/500个，0.14/个</t>
        </is>
      </c>
    </row>
    <row r="50">
      <c r="A50" s="68" t="n">
        <v>112</v>
      </c>
      <c r="B50" s="5" t="inlineStr">
        <is>
          <t>食材</t>
        </is>
      </c>
      <c r="C50" s="5" t="inlineStr">
        <is>
          <t>一次性筷子</t>
        </is>
      </c>
    </row>
    <row r="51">
      <c r="A51" s="68" t="n">
        <v>198</v>
      </c>
      <c r="B51" s="5" t="inlineStr">
        <is>
          <t>食材</t>
        </is>
      </c>
      <c r="C51" s="5" t="inlineStr">
        <is>
          <t>福州鱼丸20包/198</t>
        </is>
      </c>
    </row>
    <row r="52">
      <c r="A52" s="68" t="n">
        <v>100</v>
      </c>
      <c r="B52" s="5" t="inlineStr">
        <is>
          <t>推广</t>
        </is>
      </c>
      <c r="C52" s="5" t="inlineStr">
        <is>
          <t>京东外卖刷单</t>
        </is>
      </c>
    </row>
    <row r="53">
      <c r="A53" s="68" t="n">
        <v>362</v>
      </c>
      <c r="B53" s="5" t="inlineStr">
        <is>
          <t>食材</t>
        </is>
      </c>
      <c r="C53" s="5" t="inlineStr">
        <is>
          <t>硕美牛肉丸样品20斤，17一斤+22运费</t>
        </is>
      </c>
    </row>
    <row r="54">
      <c r="A54" s="68" t="n">
        <v>300</v>
      </c>
      <c r="B54" s="5" t="inlineStr">
        <is>
          <t>推广</t>
        </is>
      </c>
      <c r="C54" s="5" t="inlineStr">
        <is>
          <t>京东外卖推广</t>
        </is>
      </c>
    </row>
    <row r="55">
      <c r="A55" s="68" t="n">
        <v>128</v>
      </c>
      <c r="B55" s="5" t="inlineStr">
        <is>
          <t>食材</t>
        </is>
      </c>
      <c r="C55" s="5" t="inlineStr">
        <is>
          <t>一次性塑料袋和一次性勺子，塑料袋1分钱/个，勺子8分钱/个</t>
        </is>
      </c>
    </row>
    <row r="56">
      <c r="A56" s="68" t="n">
        <v>304.63</v>
      </c>
      <c r="B56" s="5" t="inlineStr">
        <is>
          <t>食材</t>
        </is>
      </c>
      <c r="C56" s="5" t="inlineStr">
        <is>
          <t>火鸡面拼多多补货5箱共150袋</t>
        </is>
      </c>
    </row>
    <row r="57">
      <c r="A57" s="68" t="n">
        <v>4355.5</v>
      </c>
      <c r="B57" s="5" t="inlineStr">
        <is>
          <t>食材</t>
        </is>
      </c>
      <c r="C57" s="5" t="inlineStr">
        <is>
          <t>300斤肉片2400+100斤牛肉羹1700+运费255.5 = 4355.5</t>
        </is>
      </c>
    </row>
    <row r="58">
      <c r="A58" s="68" t="n">
        <v>-180</v>
      </c>
      <c r="B58" s="5" t="inlineStr">
        <is>
          <t>食材</t>
        </is>
      </c>
      <c r="C58" s="5" t="inlineStr">
        <is>
          <t>老李9元/斤买走20斤上述肉片</t>
        </is>
      </c>
    </row>
    <row r="59">
      <c r="A59" s="68" t="n">
        <v>350</v>
      </c>
      <c r="B59" s="5" t="inlineStr">
        <is>
          <t>食材</t>
        </is>
      </c>
      <c r="C59" s="5" t="inlineStr">
        <is>
          <t>弹粉进货，4.5/斤，运费0.5/斤</t>
        </is>
      </c>
    </row>
    <row r="60">
      <c r="A60" s="68" t="n">
        <v>224</v>
      </c>
      <c r="B60" s="5" t="inlineStr">
        <is>
          <t>食材</t>
        </is>
      </c>
      <c r="C60" s="5" t="inlineStr">
        <is>
          <t>300圆碗四箱</t>
        </is>
      </c>
    </row>
    <row r="61">
      <c r="A61" s="68" t="n">
        <v>177</v>
      </c>
      <c r="B61" s="5" t="inlineStr">
        <is>
          <t>食材</t>
        </is>
      </c>
      <c r="C61" s="5" t="inlineStr">
        <is>
          <t>450圆碗三箱</t>
        </is>
      </c>
    </row>
    <row r="62">
      <c r="A62" s="68" t="n">
        <v>112.2</v>
      </c>
      <c r="B62" s="5" t="inlineStr">
        <is>
          <t>食材</t>
        </is>
      </c>
      <c r="C62" s="5" t="inlineStr">
        <is>
          <t>50包火鸡面</t>
        </is>
      </c>
    </row>
    <row r="63">
      <c r="A63" s="68" t="n">
        <v>-896</v>
      </c>
      <c r="B63" s="5" t="inlineStr">
        <is>
          <t>食材</t>
        </is>
      </c>
      <c r="C63" s="5" t="inlineStr">
        <is>
          <t>老李买走100斤肉片</t>
        </is>
      </c>
    </row>
    <row r="64">
      <c r="A64" s="68" t="n">
        <v>1188</v>
      </c>
      <c r="B64" s="5" t="inlineStr">
        <is>
          <t>食材</t>
        </is>
      </c>
      <c r="C64" s="5" t="inlineStr">
        <is>
          <t>老池垫付的牛肉丸+鱼丸钱</t>
        </is>
      </c>
    </row>
    <row r="65">
      <c r="A65" s="68" t="n">
        <v>2500</v>
      </c>
      <c r="B65" s="5" t="inlineStr">
        <is>
          <t>食材</t>
        </is>
      </c>
      <c r="C65" s="5" t="inlineStr">
        <is>
          <t>硕美8元肉片补货300斤+100运费</t>
        </is>
      </c>
    </row>
    <row r="66">
      <c r="A66" s="68" t="n">
        <v>299</v>
      </c>
      <c r="B66" s="5" t="inlineStr">
        <is>
          <t>其他</t>
        </is>
      </c>
      <c r="C66" s="5" t="inlineStr">
        <is>
          <t>淘宝出餐机签约，299支持返现+免佣300，需要关注</t>
        </is>
      </c>
    </row>
    <row r="67">
      <c r="A67" s="68" t="n">
        <v>-433</v>
      </c>
      <c r="B67" s="5" t="inlineStr">
        <is>
          <t>食材</t>
        </is>
      </c>
      <c r="C67" s="5" t="inlineStr">
        <is>
          <t>老李买走50斤肉片</t>
        </is>
      </c>
    </row>
    <row r="68">
      <c r="A68" s="68" t="n">
        <v>50</v>
      </c>
      <c r="B68" s="5" t="inlineStr">
        <is>
          <t>推广</t>
        </is>
      </c>
      <c r="C68" s="5" t="inlineStr">
        <is>
          <t>淘宝推广</t>
        </is>
      </c>
    </row>
    <row r="69">
      <c r="A69" s="68" t="n">
        <v>601.92</v>
      </c>
      <c r="B69" s="5" t="inlineStr">
        <is>
          <t>食材</t>
        </is>
      </c>
      <c r="C69" s="5" t="inlineStr">
        <is>
          <t>火鸡面10箱</t>
        </is>
      </c>
    </row>
    <row r="70">
      <c r="A70" s="68" t="n">
        <v>390</v>
      </c>
      <c r="B70" s="5" t="inlineStr">
        <is>
          <t>食材</t>
        </is>
      </c>
      <c r="C70" s="5" t="inlineStr">
        <is>
          <t>1280打包盒</t>
        </is>
      </c>
    </row>
    <row r="71">
      <c r="A71" s="68" t="n">
        <v>300</v>
      </c>
      <c r="B71" s="5" t="inlineStr">
        <is>
          <t>水电</t>
        </is>
      </c>
      <c r="C71" s="5" t="inlineStr">
        <is>
          <t>电话费300</t>
        </is>
      </c>
    </row>
    <row r="72">
      <c r="A72" s="68" t="n">
        <v>125.1</v>
      </c>
      <c r="B72" s="5" t="inlineStr">
        <is>
          <t>食材</t>
        </is>
      </c>
      <c r="C72" s="5" t="inlineStr">
        <is>
          <t>火鸡面临时补货</t>
        </is>
      </c>
    </row>
    <row r="73">
      <c r="A73" s="68" t="n">
        <v>170</v>
      </c>
      <c r="B73" s="5" t="inlineStr">
        <is>
          <t>食材</t>
        </is>
      </c>
      <c r="C73" s="5" t="inlineStr">
        <is>
          <t>750打包盒600个</t>
        </is>
      </c>
    </row>
    <row r="74">
      <c r="A74" s="68" t="n">
        <v>1486.65</v>
      </c>
      <c r="B74" s="5" t="inlineStr">
        <is>
          <t>其他</t>
        </is>
      </c>
      <c r="C74" s="5" t="inlineStr">
        <is>
          <t>小米空调(需要算到开店成本里比较合理)</t>
        </is>
      </c>
    </row>
    <row r="75">
      <c r="A75" s="68" t="n">
        <v>198</v>
      </c>
      <c r="B75" s="5" t="inlineStr">
        <is>
          <t>食材</t>
        </is>
      </c>
      <c r="C75" s="5" t="inlineStr">
        <is>
          <t>福州鱼丸20包/198</t>
        </is>
      </c>
    </row>
    <row r="76">
      <c r="A76" s="68" t="n">
        <v>308</v>
      </c>
      <c r="B76" s="5" t="inlineStr">
        <is>
          <t>食材</t>
        </is>
      </c>
      <c r="C76" s="5" t="inlineStr">
        <is>
          <t>1000圆碗800个/308元</t>
        </is>
      </c>
    </row>
    <row r="77">
      <c r="A77" s="68" t="n">
        <v>7560</v>
      </c>
      <c r="B77" s="5" t="inlineStr">
        <is>
          <t>食材</t>
        </is>
      </c>
      <c r="C77" s="5" t="inlineStr">
        <is>
          <t>硕美进货，肉片500斤4000，小笼包100斤1100，肉燕100斤1800，鸡翅100个300，鸭爪100个130，运费230</t>
        </is>
      </c>
    </row>
    <row r="78">
      <c r="A78" s="68" t="n">
        <v>500</v>
      </c>
      <c r="B78" s="5" t="inlineStr">
        <is>
          <t>食材</t>
        </is>
      </c>
      <c r="C78" s="5" t="inlineStr">
        <is>
          <t>快驴充值</t>
        </is>
      </c>
    </row>
    <row r="79">
      <c r="A79" s="68" t="n">
        <v>195</v>
      </c>
      <c r="B79" s="5" t="inlineStr">
        <is>
          <t>食材</t>
        </is>
      </c>
      <c r="C79" s="5" t="inlineStr">
        <is>
          <t>菜探长进货的调味粉+运费</t>
        </is>
      </c>
    </row>
    <row r="80">
      <c r="A80" s="68" t="n">
        <v>33.9</v>
      </c>
      <c r="B80" s="5" t="inlineStr">
        <is>
          <t>其他</t>
        </is>
      </c>
      <c r="C80" s="5" t="inlineStr">
        <is>
          <t>灭蚊灯</t>
        </is>
      </c>
    </row>
    <row r="81">
      <c r="A81" s="68" t="n">
        <v>1410</v>
      </c>
      <c r="B81" s="5" t="inlineStr">
        <is>
          <t>食材</t>
        </is>
      </c>
      <c r="C81" s="5" t="inlineStr">
        <is>
          <t>菜探长肉筋进货1380+30运费</t>
        </is>
      </c>
    </row>
    <row r="82">
      <c r="A82" s="68" t="n">
        <v>81.65000000000001</v>
      </c>
      <c r="B82" s="5" t="inlineStr">
        <is>
          <t>其他</t>
        </is>
      </c>
      <c r="C82" s="5" t="inlineStr">
        <is>
          <t>给老家寄肉筋快递费43.65+插线板38</t>
        </is>
      </c>
    </row>
    <row r="83">
      <c r="A83" s="68" t="n">
        <v>551.92</v>
      </c>
      <c r="B83" s="5" t="inlineStr">
        <is>
          <t>食材</t>
        </is>
      </c>
      <c r="C83" s="5" t="inlineStr">
        <is>
          <t>火鸡面补货</t>
        </is>
      </c>
    </row>
    <row r="84">
      <c r="A84" s="68" t="n">
        <v>246</v>
      </c>
      <c r="B84" s="5" t="inlineStr">
        <is>
          <t>食材</t>
        </is>
      </c>
      <c r="C84" s="5" t="inlineStr">
        <is>
          <t>1000打包盒600分</t>
        </is>
      </c>
    </row>
    <row r="85">
      <c r="A85" s="68" t="n">
        <v>244.6</v>
      </c>
      <c r="B85" s="5" t="inlineStr">
        <is>
          <t>食材</t>
        </is>
      </c>
      <c r="C85" s="5" t="inlineStr">
        <is>
          <t>火鸡面临时补货46.6+福州鱼丸198</t>
        </is>
      </c>
    </row>
    <row r="86">
      <c r="A86" s="68" t="n">
        <v>500</v>
      </c>
      <c r="B86" s="5" t="inlineStr">
        <is>
          <t>食材</t>
        </is>
      </c>
      <c r="C86" s="5" t="inlineStr">
        <is>
          <t>快驴充值</t>
        </is>
      </c>
    </row>
    <row r="87">
      <c r="A87" s="68" t="n">
        <v>480</v>
      </c>
      <c r="B87" s="5" t="inlineStr">
        <is>
          <t>食材</t>
        </is>
      </c>
      <c r="C87" s="5" t="inlineStr">
        <is>
          <t>黄辣椒+溜溜 480</t>
        </is>
      </c>
    </row>
    <row r="88">
      <c r="A88" s="68" t="n">
        <v>120</v>
      </c>
      <c r="B88" s="5" t="inlineStr">
        <is>
          <t>食材</t>
        </is>
      </c>
      <c r="C88" s="5" t="inlineStr">
        <is>
          <t>白琳肉筋样品</t>
        </is>
      </c>
    </row>
    <row r="89">
      <c r="A89" s="68" t="n">
        <v>2555</v>
      </c>
      <c r="B89" s="5" t="inlineStr">
        <is>
          <t>食材</t>
        </is>
      </c>
      <c r="C89" s="5" t="inlineStr">
        <is>
          <t>硕美进货，肉片500斤4000，小笼包50斤5500，肉燕50斤900，牛肉羹50斤850，调味料60，运费195，4000货品算到4月用</t>
        </is>
      </c>
    </row>
    <row r="90">
      <c r="A90" s="68" t="n">
        <v>106</v>
      </c>
      <c r="B90" s="5" t="inlineStr">
        <is>
          <t>食材</t>
        </is>
      </c>
      <c r="C90" s="5" t="inlineStr">
        <is>
          <t>勺子78+筷子28</t>
        </is>
      </c>
    </row>
    <row r="91">
      <c r="A91" s="68" t="n">
        <v>22.8</v>
      </c>
      <c r="B91" s="5" t="inlineStr">
        <is>
          <t>其他</t>
        </is>
      </c>
      <c r="C91" s="5" t="inlineStr">
        <is>
          <t>杀虫剂</t>
        </is>
      </c>
    </row>
    <row r="92">
      <c r="A92" s="68" t="n">
        <v>390</v>
      </c>
      <c r="B92" s="5" t="inlineStr">
        <is>
          <t>食材</t>
        </is>
      </c>
      <c r="C92" s="5" t="inlineStr">
        <is>
          <t>1280打包盒1000个</t>
        </is>
      </c>
    </row>
    <row r="93">
      <c r="A93" s="68" t="n">
        <v>246</v>
      </c>
      <c r="B93" s="5" t="inlineStr">
        <is>
          <t>食材</t>
        </is>
      </c>
      <c r="C93" s="5" t="inlineStr">
        <is>
          <t>1000打包盒600分</t>
        </is>
      </c>
    </row>
    <row r="94">
      <c r="A94" s="68" t="n">
        <v>130</v>
      </c>
      <c r="B94" s="5" t="inlineStr">
        <is>
          <t>其他</t>
        </is>
      </c>
      <c r="C94" s="5" t="inlineStr">
        <is>
          <t>浙游记开业花篮赠送</t>
        </is>
      </c>
    </row>
    <row r="95">
      <c r="A95" s="68" t="n">
        <v>96</v>
      </c>
      <c r="B95" s="5" t="inlineStr">
        <is>
          <t>食材</t>
        </is>
      </c>
      <c r="C95" s="5" t="inlineStr">
        <is>
          <t>浙游记肉片样品</t>
        </is>
      </c>
    </row>
    <row r="96">
      <c r="A96" s="68" t="n">
        <v>104.36</v>
      </c>
      <c r="B96" s="5" t="inlineStr">
        <is>
          <t>食材</t>
        </is>
      </c>
      <c r="C96" s="5" t="inlineStr">
        <is>
          <t>快驴差价</t>
        </is>
      </c>
    </row>
    <row r="97">
      <c r="A97" s="12" t="n"/>
      <c r="B97" s="6" t="n"/>
      <c r="C97" s="3" t="n"/>
    </row>
    <row r="98">
      <c r="A98" s="12" t="n"/>
      <c r="B98" s="6" t="n"/>
      <c r="C98" s="3" t="n"/>
    </row>
    <row r="99">
      <c r="A99" s="12" t="n"/>
      <c r="B99" s="6" t="n"/>
      <c r="C99" s="3" t="n"/>
    </row>
    <row r="100">
      <c r="A100" s="12" t="inlineStr">
        <is>
          <t>收入明细</t>
        </is>
      </c>
      <c r="B100" s="6" t="inlineStr">
        <is>
          <t>分类</t>
        </is>
      </c>
      <c r="C100" s="3" t="inlineStr">
        <is>
          <t>说明</t>
        </is>
      </c>
    </row>
    <row r="101">
      <c r="A101" s="43" t="n">
        <v>8739.360000000001</v>
      </c>
      <c r="B101" s="6" t="inlineStr">
        <is>
          <t>微信堂食-商业码</t>
        </is>
      </c>
      <c r="C101" s="3" t="n"/>
    </row>
    <row r="102">
      <c r="A102" s="43" t="n">
        <v>108.3</v>
      </c>
      <c r="B102" s="6" t="inlineStr">
        <is>
          <t>微信堂食-经营码</t>
        </is>
      </c>
      <c r="C102" s="3" t="n"/>
    </row>
    <row r="103">
      <c r="A103" s="43" t="n">
        <v>2679.29</v>
      </c>
      <c r="B103" s="6" t="inlineStr">
        <is>
          <t>支付宝堂食</t>
        </is>
      </c>
      <c r="C103" s="3" t="n"/>
    </row>
    <row r="104">
      <c r="A104" s="43" t="n">
        <v>9171.690000000001</v>
      </c>
      <c r="B104" s="6" t="inlineStr">
        <is>
          <t>京东外卖</t>
        </is>
      </c>
      <c r="C104" s="3" t="n"/>
    </row>
    <row r="105">
      <c r="A105" s="43" t="n">
        <v>28180.51</v>
      </c>
      <c r="B105" s="6" t="inlineStr">
        <is>
          <t>淘宝外卖</t>
        </is>
      </c>
      <c r="C105" s="3" t="n"/>
    </row>
    <row r="106">
      <c r="A106" s="69" t="n">
        <v>24949.9</v>
      </c>
      <c r="B106" s="6" t="inlineStr">
        <is>
          <t>美团外卖</t>
        </is>
      </c>
      <c r="C106" s="5" t="n"/>
    </row>
    <row r="107"/>
    <row r="108">
      <c r="A108" s="12" t="n"/>
      <c r="B108" s="44" t="n"/>
      <c r="C108" s="9" t="n"/>
    </row>
    <row r="109">
      <c r="A109" s="12" t="n"/>
      <c r="B109" s="44" t="n"/>
      <c r="C109" s="10" t="n"/>
    </row>
    <row r="110">
      <c r="A110" s="12" t="n"/>
      <c r="C110" s="10" t="n"/>
    </row>
  </sheetData>
  <dataValidations count="1">
    <dataValidation sqref="B2:B3 B4 B5:B46 B47 B48 B49 B50 B51 B52 B53 B54 B55 B56 B57 B58 B59 B60 B61 B62 B63 B64 B65 B66" showDropDown="0" showInputMessage="1" showErrorMessage="1" allowBlank="1" type="list">
      <formula1>"房租,其他,食材,推广,水电,工资"</formula1>
    </dataValidation>
  </dataValidations>
  <pageMargins left="0.7" right="0.7" top="0.75" bottom="0.75" header="0.3" footer="0.3"/>
  <pageSetup orientation="portrait" paperSize="9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0"/>
    <pageSetUpPr/>
  </sheetPr>
  <dimension ref="A1:C50"/>
  <sheetViews>
    <sheetView tabSelected="1" workbookViewId="0">
      <selection activeCell="A1" sqref="$A1:$XFD5"/>
    </sheetView>
  </sheetViews>
  <sheetFormatPr baseColWidth="8" defaultColWidth="9" defaultRowHeight="15" customHeight="1"/>
  <cols>
    <col width="21.125" customWidth="1" style="70" min="1" max="1"/>
    <col width="19.75" customWidth="1" min="2" max="2"/>
    <col width="125.634615384615" customWidth="1" min="3" max="3"/>
  </cols>
  <sheetData>
    <row r="1">
      <c r="A1" s="45" t="inlineStr">
        <is>
          <t>营收统计</t>
        </is>
      </c>
    </row>
    <row r="2">
      <c r="A2" s="46" t="inlineStr">
        <is>
          <t>指标</t>
        </is>
      </c>
      <c r="B2" s="46" t="inlineStr">
        <is>
          <t>数值</t>
        </is>
      </c>
      <c r="C2" s="46" t="inlineStr">
        <is>
          <t>单位</t>
        </is>
      </c>
    </row>
    <row r="3">
      <c r="A3" s="47" t="inlineStr">
        <is>
          <t>总收入</t>
        </is>
      </c>
      <c r="B3" s="48">
        <f>SUM(收入明细2604[收入明细])</f>
        <v/>
      </c>
      <c r="C3" s="49" t="inlineStr">
        <is>
          <t>元</t>
        </is>
      </c>
    </row>
    <row r="4">
      <c r="A4" s="50" t="inlineStr">
        <is>
          <t>总支出</t>
        </is>
      </c>
      <c r="B4" s="51">
        <f>SUM(支出明细2604[支出明细])</f>
        <v/>
      </c>
      <c r="C4" s="52" t="inlineStr">
        <is>
          <t>元</t>
        </is>
      </c>
    </row>
    <row r="5">
      <c r="A5" s="53" t="inlineStr">
        <is>
          <t>毛利润</t>
        </is>
      </c>
      <c r="B5" s="54">
        <f>$B$3-SUMIF(支出明细2604[分类],"食材",支出明细2604[支出明细])</f>
        <v/>
      </c>
      <c r="C5" s="55" t="inlineStr">
        <is>
          <t>元</t>
        </is>
      </c>
    </row>
    <row r="6">
      <c r="A6" s="53" t="inlineStr">
        <is>
          <t>净利润</t>
        </is>
      </c>
      <c r="B6" s="54">
        <f>$B$3-$B$4</f>
        <v/>
      </c>
      <c r="C6" s="55" t="inlineStr">
        <is>
          <t>元</t>
        </is>
      </c>
    </row>
    <row r="7">
      <c r="A7" s="53" t="inlineStr">
        <is>
          <t>毛利率</t>
        </is>
      </c>
      <c r="B7" s="56">
        <f>$B$5/$B$3</f>
        <v/>
      </c>
      <c r="C7" s="55" t="inlineStr">
        <is>
          <t>%</t>
        </is>
      </c>
    </row>
    <row r="8">
      <c r="A8" s="53" t="inlineStr">
        <is>
          <t>净利率</t>
        </is>
      </c>
      <c r="B8" s="56">
        <f>$B$6/$B$3</f>
        <v/>
      </c>
      <c r="C8" s="55" t="inlineStr">
        <is>
          <t>%</t>
        </is>
      </c>
    </row>
    <row r="11">
      <c r="A11" s="57" t="inlineStr">
        <is>
          <t>收入统计</t>
        </is>
      </c>
    </row>
    <row r="12">
      <c r="A12" s="58" t="inlineStr">
        <is>
          <t>渠道</t>
        </is>
      </c>
      <c r="B12" s="58" t="inlineStr">
        <is>
          <t>金额</t>
        </is>
      </c>
      <c r="C12" s="58" t="inlineStr">
        <is>
          <t>占比</t>
        </is>
      </c>
    </row>
    <row r="13">
      <c r="A13" s="53" t="inlineStr">
        <is>
          <t>淘宝外卖</t>
        </is>
      </c>
      <c r="B13" s="54">
        <f>SUMIF(收入明细2604[分类],"淘宝外卖",收入明细2604[收入明细])</f>
        <v/>
      </c>
      <c r="C13" s="56">
        <f>$B$13/$B$3</f>
        <v/>
      </c>
    </row>
    <row r="14">
      <c r="A14" s="53" t="inlineStr">
        <is>
          <t>美团外卖</t>
        </is>
      </c>
      <c r="B14" s="54">
        <f>SUMIF(收入明细2604[分类],"美团外卖",收入明细2604[收入明细])</f>
        <v/>
      </c>
      <c r="C14" s="56">
        <f>$B$14/$B$3</f>
        <v/>
      </c>
    </row>
    <row r="15">
      <c r="A15" s="53" t="inlineStr">
        <is>
          <t>微信堂食</t>
        </is>
      </c>
      <c r="B15" s="54">
        <f>SUMIF(收入明细2604[分类],"微信堂食",收入明细2604[收入明细])</f>
        <v/>
      </c>
      <c r="C15" s="56">
        <f>$B$15/$B$3</f>
        <v/>
      </c>
    </row>
    <row r="16">
      <c r="A16" s="53" t="inlineStr">
        <is>
          <t>支付宝堂食</t>
        </is>
      </c>
      <c r="B16" s="54">
        <f>SUMIF(收入明细2604[分类],"支付宝堂食",收入明细2604[收入明细])</f>
        <v/>
      </c>
      <c r="C16" s="56">
        <f>$B$16/$B$3</f>
        <v/>
      </c>
    </row>
    <row r="17">
      <c r="A17" s="53" t="inlineStr">
        <is>
          <t>京东外卖</t>
        </is>
      </c>
      <c r="B17" s="54">
        <f>SUMIF(收入明细2604[分类],"京东外卖",收入明细2604[收入明细])</f>
        <v/>
      </c>
      <c r="C17" s="56">
        <f>$B$17/$B$3</f>
        <v/>
      </c>
    </row>
    <row r="18">
      <c r="A18" s="59" t="inlineStr">
        <is>
          <t>合计</t>
        </is>
      </c>
      <c r="B18" s="60">
        <f>SUM(B13:B17)</f>
        <v/>
      </c>
      <c r="C18" s="61">
        <f>SUM($C$13:$C$17)</f>
        <v/>
      </c>
    </row>
    <row r="20">
      <c r="A20" s="62" t="inlineStr">
        <is>
          <t>支出统计</t>
        </is>
      </c>
    </row>
    <row r="21">
      <c r="A21" s="63" t="inlineStr">
        <is>
          <t>类别</t>
        </is>
      </c>
      <c r="B21" s="63" t="inlineStr">
        <is>
          <t>金额</t>
        </is>
      </c>
      <c r="C21" s="63" t="inlineStr">
        <is>
          <t>占比</t>
        </is>
      </c>
    </row>
    <row r="22">
      <c r="A22" s="53" t="inlineStr">
        <is>
          <t>食材</t>
        </is>
      </c>
      <c r="B22" s="54">
        <f>SUMIF(支出明细2604[分类],"食材",支出明细2604[支出明细])</f>
        <v/>
      </c>
      <c r="C22" s="56">
        <f>$B$22/$B$4</f>
        <v/>
      </c>
    </row>
    <row r="23">
      <c r="A23" s="53" t="inlineStr">
        <is>
          <t>工资</t>
        </is>
      </c>
      <c r="B23" s="54">
        <f>SUMIF(支出明细2604[分类],"工资",支出明细2604[支出明细])</f>
        <v/>
      </c>
      <c r="C23" s="56">
        <f>$B$23/$B$4</f>
        <v/>
      </c>
    </row>
    <row r="24">
      <c r="A24" s="53" t="inlineStr">
        <is>
          <t>房租</t>
        </is>
      </c>
      <c r="B24" s="54">
        <f>SUMIF(支出明细2604[分类],"房租",支出明细2604[支出明细])</f>
        <v/>
      </c>
      <c r="C24" s="56">
        <f>$B$24/$B$4</f>
        <v/>
      </c>
    </row>
    <row r="25">
      <c r="A25" s="53" t="inlineStr">
        <is>
          <t>推广</t>
        </is>
      </c>
      <c r="B25" s="54">
        <f>SUMIF(支出明细2604[分类],"推广",支出明细2604[支出明细])</f>
        <v/>
      </c>
      <c r="C25" s="56">
        <f>$B$25/$B$4</f>
        <v/>
      </c>
    </row>
    <row r="26">
      <c r="A26" s="53" t="inlineStr">
        <is>
          <t>水电</t>
        </is>
      </c>
      <c r="B26" s="54">
        <f>SUMIF(支出明细2604[分类],"水电",支出明细2604[支出明细])</f>
        <v/>
      </c>
      <c r="C26" s="56">
        <f>$B$26/$B$4</f>
        <v/>
      </c>
    </row>
    <row r="27">
      <c r="A27" s="53" t="inlineStr">
        <is>
          <t>其他</t>
        </is>
      </c>
      <c r="B27" s="54">
        <f>SUMIF(支出明细2604[分类],"其他",支出明细2604[支出明细])</f>
        <v/>
      </c>
      <c r="C27" s="56">
        <f>$B$27/$B$4</f>
        <v/>
      </c>
    </row>
    <row r="28">
      <c r="A28" s="64" t="inlineStr">
        <is>
          <t>合计</t>
        </is>
      </c>
      <c r="B28" s="65">
        <f>SUM(B22:B27)</f>
        <v/>
      </c>
      <c r="C28" s="66">
        <f>SUM($C$22:$C$27)</f>
        <v/>
      </c>
    </row>
    <row r="31">
      <c r="A31" s="67" t="inlineStr">
        <is>
          <t>支出明细</t>
        </is>
      </c>
      <c r="B31" s="3" t="inlineStr">
        <is>
          <t>分类</t>
        </is>
      </c>
      <c r="C31" s="3" t="inlineStr">
        <is>
          <t>说明</t>
        </is>
      </c>
    </row>
    <row r="32">
      <c r="A32" s="67" t="n">
        <v>4333</v>
      </c>
      <c r="B32" s="3" t="inlineStr">
        <is>
          <t>房租</t>
        </is>
      </c>
      <c r="C32" s="3" t="inlineStr">
        <is>
          <t>月租金</t>
        </is>
      </c>
    </row>
    <row r="33">
      <c r="A33" s="67" t="n">
        <v>15000</v>
      </c>
      <c r="B33" s="3" t="inlineStr">
        <is>
          <t>工资</t>
        </is>
      </c>
      <c r="C33" s="3" t="inlineStr">
        <is>
          <t>暂未支付</t>
        </is>
      </c>
    </row>
    <row r="34">
      <c r="A34" s="67" t="n">
        <v>3000</v>
      </c>
      <c r="B34" s="3" t="inlineStr">
        <is>
          <t>水电</t>
        </is>
      </c>
      <c r="C34" s="3" t="inlineStr">
        <is>
          <t>暂未支付</t>
        </is>
      </c>
    </row>
    <row r="35">
      <c r="A35" s="68" t="n">
        <v>4000</v>
      </c>
      <c r="B35" s="5" t="inlineStr">
        <is>
          <t>食材</t>
        </is>
      </c>
      <c r="C35" s="5" t="inlineStr">
        <is>
          <t>硕美进货，肉片500斤4000，小笼包50斤5500，肉燕50斤900，牛肉羹50斤850，调味料60，运费195，2555货品算到3月用</t>
        </is>
      </c>
    </row>
    <row r="36">
      <c r="A36" s="67" t="n">
        <v>397.58</v>
      </c>
      <c r="B36" s="6" t="inlineStr">
        <is>
          <t>食材</t>
        </is>
      </c>
      <c r="C36" s="3" t="inlineStr">
        <is>
          <t>调味品：味素+味精</t>
        </is>
      </c>
    </row>
    <row r="37">
      <c r="A37" s="67" t="n">
        <v>5000</v>
      </c>
      <c r="B37" s="6" t="inlineStr">
        <is>
          <t>食材</t>
        </is>
      </c>
      <c r="C37" s="3" t="inlineStr">
        <is>
          <t>快驴首充</t>
        </is>
      </c>
    </row>
    <row r="38">
      <c r="A38" s="67" t="n"/>
      <c r="B38" s="6" t="n"/>
      <c r="C38" s="3" t="n"/>
    </row>
    <row r="39">
      <c r="A39" s="67" t="n"/>
      <c r="B39" s="6" t="n"/>
      <c r="C39" s="3" t="n"/>
    </row>
    <row r="40">
      <c r="A40" s="67" t="n"/>
      <c r="B40" s="6" t="n"/>
      <c r="C40" s="3" t="n"/>
    </row>
    <row r="41">
      <c r="A41" s="67" t="inlineStr">
        <is>
          <t>收入明细</t>
        </is>
      </c>
      <c r="B41" s="6" t="inlineStr">
        <is>
          <t>分类</t>
        </is>
      </c>
      <c r="C41" s="3" t="inlineStr">
        <is>
          <t>说明</t>
        </is>
      </c>
    </row>
    <row r="42">
      <c r="A42" s="43" t="n">
        <v>0</v>
      </c>
      <c r="B42" s="6" t="inlineStr">
        <is>
          <t>微信堂食-商业码</t>
        </is>
      </c>
      <c r="C42" s="3" t="n"/>
    </row>
    <row r="43">
      <c r="A43" s="43" t="n">
        <v>0</v>
      </c>
      <c r="B43" s="6" t="inlineStr">
        <is>
          <t>微信堂食-经营码</t>
        </is>
      </c>
      <c r="C43" s="3" t="n"/>
    </row>
    <row r="44">
      <c r="A44" s="43" t="n">
        <v>0</v>
      </c>
      <c r="B44" s="6" t="inlineStr">
        <is>
          <t>支付宝堂食</t>
        </is>
      </c>
      <c r="C44" s="3" t="n"/>
    </row>
    <row r="45">
      <c r="A45" s="43" t="n">
        <v>0</v>
      </c>
      <c r="B45" s="6" t="inlineStr">
        <is>
          <t>京东外卖</t>
        </is>
      </c>
      <c r="C45" s="3" t="n"/>
    </row>
    <row r="46">
      <c r="A46" s="43" t="n">
        <v>0</v>
      </c>
      <c r="B46" s="6" t="inlineStr">
        <is>
          <t>淘宝外卖</t>
        </is>
      </c>
      <c r="C46" s="3" t="n"/>
    </row>
    <row r="47">
      <c r="A47" s="43" t="n">
        <v>0</v>
      </c>
      <c r="B47" s="6" t="inlineStr">
        <is>
          <t>美团外卖</t>
        </is>
      </c>
      <c r="C47" s="5" t="n"/>
    </row>
    <row r="48">
      <c r="A48" s="67" t="n"/>
      <c r="B48" s="44" t="n"/>
      <c r="C48" s="9" t="n"/>
    </row>
    <row r="49">
      <c r="A49" s="67" t="n"/>
      <c r="B49" s="44" t="n"/>
      <c r="C49" s="10" t="n"/>
    </row>
    <row r="50">
      <c r="A50" s="67" t="n"/>
      <c r="C50" s="10" t="n"/>
    </row>
  </sheetData>
  <dataValidations count="1">
    <dataValidation sqref="B2:B3 B4 B5 B6 B7" showDropDown="0" showInputMessage="1" showErrorMessage="1" allowBlank="1" type="list">
      <formula1>"房租,其他,食材,推广,水电,工资"</formula1>
    </dataValidation>
  </dataValidations>
  <pageMargins left="0.7" right="0.7" top="0.75" bottom="0.75" header="0.3" footer="0.3"/>
  <pageSetup orientation="portrait" paperSize="9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2026-02-21T19:28:00Z</dcterms:created>
  <dcterms:modified xsi:type="dcterms:W3CDTF">2026-04-01T08:28:07Z</dcterms:modified>
  <cp:lastModifiedBy>yalla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2052-5.1.0.7912</vt:lpwstr>
  </property>
</Properties>
</file>