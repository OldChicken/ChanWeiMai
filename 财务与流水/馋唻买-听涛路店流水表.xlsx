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<sst xmlns="http://schemas.openxmlformats.org/spreadsheetml/2006/main" count="187" uniqueCount="80">
  <si>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</si>
  <si>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</si>
  <si>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</si>
  <si>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</si>
  <si>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</si>
  <si>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</si>
  <si>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</si>
  <si>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</si>
  <si>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</si>
  <si>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</si>
  <si>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</si>
  <si>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</si>
  <si>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</si>
  <si>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</si>
  <si>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</si>
  <si>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</si>
  <si>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</si>
  <si>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</si>
  <si>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</si>
  <si>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</si>
  <si>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</si>
  <si>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</si>
  <si>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</si>
  <si>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</si>
  <si>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</si>
  <si>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</si>
  <si>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</si>
  <si>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</si>
  <si>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</si>
  <si>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</si>
  <si>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</si>
  <si>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</si>
  <si>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</si>
  <si>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</si>
  <si>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</si>
  <si>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</si>
  <si>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</si>
  <si>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</si>
  <si>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</si>
  <si>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</si>
  <si>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</si>
  <si>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</si>
  <si>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</si>
  <si>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</si>
  <si>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</si>
  <si>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</si>
  <si>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</si>
  <si>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</si>
  <si>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</si>
  <si>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</si>
  <si>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</si>
  <si>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</si>
  <si>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</si>
  <si>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</si>
  <si>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</si>
  <si>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</si>
  <si>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</si>
  <si>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</si>
  <si>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员工工资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</si>
  <si>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</si>
  <si>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</si>
  <si>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</si>
  <si>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</si>
  <si>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</si>
  <si>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</si>
  <si>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</si>
  <si>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</si>
  <si>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</si>
  <si>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</si>
  <si>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</si>
  <si>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</si>
  <si>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</si>
  <si>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</si>
  <si>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</si>
  <si>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堂食</t>
  </si>
  <si>
    <t>京东</t>
  </si>
  <si>
    <t>淘宝</t>
  </si>
  <si>
    <t>美团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</si>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</sst>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#,##0.00_ "/>
    <numFmt numFmtId="177" formatCode="0.00_);[Red]\(0.00\)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3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6" fillId="2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2" fillId="24" borderId="2" applyNumberFormat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6" fillId="15" borderId="4" applyNumberFormat="0" applyAlignment="0" applyProtection="0">
      <alignment vertical="center"/>
    </xf>
    <xf numFmtId="0" fontId="18" fillId="24" borderId="6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0" fillId="29" borderId="8" applyNumberFormat="0" applyFont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177" fontId="3" fillId="0" borderId="0" xfId="0" applyNumberFormat="1" applyFont="1" applyAlignment="1">
      <alignment horizontal="left"/>
    </xf>
    <xf numFmtId="4" fontId="3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38</xdr:row>
      <xdr:rowOff>0</xdr:rowOff>
    </xdr:from>
    <xdr:to>
      <xdr:col>4</xdr:col>
      <xdr:colOff>133350</xdr:colOff>
      <xdr:row>59</xdr:row>
      <xdr:rowOff>9525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7239000"/>
          <a:ext cx="9733915" cy="401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4:C29" totalsRowShown="0">
  <autoFilter ref="A24:C29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1:C20" totalsRowShown="0">
  <autoFilter ref="A1:C2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22:C26" totalsRowShown="0">
  <autoFilter ref="A22:C26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1:C20" totalsRowShown="0">
  <autoFilter ref="A1:C20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C43" sqref="C43"/>
    </sheetView>
  </sheetViews>
  <sheetFormatPr defaultColWidth="9" defaultRowHeight="16.8" outlineLevelCol="2"/>
  <cols>
    <col min="1" max="1" width="23.75" style="10" customWidth="1"/>
    <col min="2" max="2" width="20.375" customWidth="1"/>
    <col min="3" max="3" width="37.25" style="16" customWidth="1"/>
  </cols>
  <sheetData>
    <row r="1" ht="15" customHeight="1" spans="1:3">
      <c r="A1" s="10" t="s">
        <v>0</v>
      </c>
      <c r="C1" s="14">
        <v>100000</v>
      </c>
    </row>
    <row r="2" ht="15" customHeight="1" spans="1:3">
      <c r="A2" s="10" t="s">
        <v>1</v>
      </c>
      <c r="C2" s="15">
        <f>SUM(成本明细[金额(元)])</f>
        <v>99761.38</v>
      </c>
    </row>
    <row r="3" ht="15" customHeight="1" spans="1:3">
      <c r="A3" s="10" t="s">
        <v>2</v>
      </c>
      <c r="C3" s="15">
        <f>C1-C2</f>
        <v>238.619999999981</v>
      </c>
    </row>
    <row r="4" ht="15" customHeight="1"/>
    <row r="5" ht="15" customHeight="1" spans="1:3">
      <c r="A5" s="10" t="s">
        <v>3</v>
      </c>
      <c r="B5" s="11" t="s">
        <v>4</v>
      </c>
      <c r="C5" s="3" t="s">
        <v>5</v>
      </c>
    </row>
    <row r="6" ht="15" customHeight="1" spans="1:3">
      <c r="A6" s="2">
        <v>10000</v>
      </c>
      <c r="B6" t="s">
        <v>6</v>
      </c>
      <c r="C6" s="3" t="s">
        <v>7</v>
      </c>
    </row>
    <row r="7" ht="15" customHeight="1" spans="1:3">
      <c r="A7" s="2">
        <v>26000</v>
      </c>
      <c r="B7" t="s">
        <v>6</v>
      </c>
      <c r="C7" s="3" t="s">
        <v>8</v>
      </c>
    </row>
    <row r="8" ht="15" customHeight="1" spans="1:3">
      <c r="A8" s="2">
        <v>6000</v>
      </c>
      <c r="B8" t="s">
        <v>9</v>
      </c>
      <c r="C8" s="3" t="s">
        <v>10</v>
      </c>
    </row>
    <row r="9" ht="15" customHeight="1" spans="1:3">
      <c r="A9" s="2">
        <v>3000</v>
      </c>
      <c r="B9" t="s">
        <v>9</v>
      </c>
      <c r="C9" s="3" t="s">
        <v>11</v>
      </c>
    </row>
    <row r="10" ht="15" customHeight="1" spans="1:3">
      <c r="A10" s="2">
        <v>2100</v>
      </c>
      <c r="B10" t="s">
        <v>9</v>
      </c>
      <c r="C10" s="3" t="s">
        <v>12</v>
      </c>
    </row>
    <row r="11" ht="15" customHeight="1" spans="1:3">
      <c r="A11" s="2">
        <v>340</v>
      </c>
      <c r="B11" t="s">
        <v>9</v>
      </c>
      <c r="C11" s="3" t="s">
        <v>13</v>
      </c>
    </row>
    <row r="12" ht="15" customHeight="1" spans="1:3">
      <c r="A12" s="2">
        <v>200</v>
      </c>
      <c r="B12" t="s">
        <v>14</v>
      </c>
      <c r="C12" s="3" t="s">
        <v>15</v>
      </c>
    </row>
    <row r="13" ht="15" customHeight="1" spans="1:3">
      <c r="A13" s="2">
        <v>11000</v>
      </c>
      <c r="B13" t="s">
        <v>16</v>
      </c>
      <c r="C13" s="3" t="s">
        <v>17</v>
      </c>
    </row>
    <row r="14" ht="15" customHeight="1" spans="1:3">
      <c r="A14" s="2">
        <v>5000</v>
      </c>
      <c r="B14" t="s">
        <v>9</v>
      </c>
      <c r="C14" s="3" t="s">
        <v>18</v>
      </c>
    </row>
    <row r="15" ht="15" customHeight="1" spans="1:3">
      <c r="A15" s="2">
        <v>755</v>
      </c>
      <c r="B15" t="s">
        <v>16</v>
      </c>
      <c r="C15" s="3" t="s">
        <v>19</v>
      </c>
    </row>
    <row r="16" ht="15" customHeight="1" spans="1:3">
      <c r="A16" s="2">
        <v>190</v>
      </c>
      <c r="B16" t="s">
        <v>9</v>
      </c>
      <c r="C16" s="3" t="s">
        <v>20</v>
      </c>
    </row>
    <row r="17" ht="15" customHeight="1" spans="1:3">
      <c r="A17" s="2">
        <v>405.9</v>
      </c>
      <c r="B17" t="s">
        <v>16</v>
      </c>
      <c r="C17" s="3" t="s">
        <v>21</v>
      </c>
    </row>
    <row r="18" ht="15" customHeight="1" spans="1:3">
      <c r="A18" s="2">
        <v>228</v>
      </c>
      <c r="B18" t="s">
        <v>16</v>
      </c>
      <c r="C18" s="3" t="s">
        <v>22</v>
      </c>
    </row>
    <row r="19" ht="15" customHeight="1" spans="1:3">
      <c r="A19" s="2">
        <v>639.5</v>
      </c>
      <c r="B19" t="s">
        <v>16</v>
      </c>
      <c r="C19" s="3" t="s">
        <v>23</v>
      </c>
    </row>
    <row r="20" ht="15" customHeight="1" spans="1:3">
      <c r="A20" s="2">
        <v>1259.1</v>
      </c>
      <c r="B20" t="s">
        <v>16</v>
      </c>
      <c r="C20" s="3" t="s">
        <v>24</v>
      </c>
    </row>
    <row r="21" ht="15" customHeight="1" spans="1:3">
      <c r="A21" s="2">
        <v>1000</v>
      </c>
      <c r="B21" t="s">
        <v>25</v>
      </c>
      <c r="C21" s="16" t="s">
        <v>26</v>
      </c>
    </row>
    <row r="22" ht="15" customHeight="1" spans="1:3">
      <c r="A22" s="2">
        <v>13260</v>
      </c>
      <c r="B22" t="s">
        <v>25</v>
      </c>
      <c r="C22" s="3" t="s">
        <v>27</v>
      </c>
    </row>
    <row r="23" ht="15" customHeight="1" spans="1:3">
      <c r="A23" s="2">
        <v>47.97</v>
      </c>
      <c r="B23" t="s">
        <v>14</v>
      </c>
      <c r="C23" s="3" t="s">
        <v>28</v>
      </c>
    </row>
    <row r="24" ht="15" customHeight="1" spans="1:3">
      <c r="A24" s="2">
        <v>276.1</v>
      </c>
      <c r="B24" t="s">
        <v>14</v>
      </c>
      <c r="C24" s="3" t="s">
        <v>29</v>
      </c>
    </row>
    <row r="25" ht="15" customHeight="1" spans="1:3">
      <c r="A25" s="2">
        <v>6000</v>
      </c>
      <c r="B25" t="s">
        <v>9</v>
      </c>
      <c r="C25" s="16" t="s">
        <v>30</v>
      </c>
    </row>
    <row r="26" ht="15" customHeight="1" spans="1:3">
      <c r="A26" s="2">
        <v>640</v>
      </c>
      <c r="B26" t="s">
        <v>9</v>
      </c>
      <c r="C26" s="16" t="s">
        <v>31</v>
      </c>
    </row>
    <row r="27" ht="15" customHeight="1" spans="1:3">
      <c r="A27" s="2">
        <v>500</v>
      </c>
      <c r="B27" t="s">
        <v>32</v>
      </c>
      <c r="C27" s="16" t="s">
        <v>33</v>
      </c>
    </row>
    <row r="28" ht="15" customHeight="1" spans="1:3">
      <c r="A28" s="2">
        <v>600</v>
      </c>
      <c r="B28" t="s">
        <v>32</v>
      </c>
      <c r="C28" s="16" t="s">
        <v>34</v>
      </c>
    </row>
    <row r="29" ht="15" customHeight="1" spans="1:3">
      <c r="A29" s="2">
        <v>938</v>
      </c>
      <c r="B29" t="s">
        <v>25</v>
      </c>
      <c r="C29" s="16" t="s">
        <v>35</v>
      </c>
    </row>
    <row r="30" ht="15" customHeight="1" spans="1:3">
      <c r="A30" s="2">
        <v>1000</v>
      </c>
      <c r="B30" t="s">
        <v>25</v>
      </c>
      <c r="C30" s="16" t="s">
        <v>26</v>
      </c>
    </row>
    <row r="31" ht="15" customHeight="1" spans="1:3">
      <c r="A31" s="2">
        <v>60.5</v>
      </c>
      <c r="B31" t="s">
        <v>25</v>
      </c>
      <c r="C31" s="16" t="s">
        <v>36</v>
      </c>
    </row>
    <row r="32" ht="15" customHeight="1" spans="1:3">
      <c r="A32" s="2">
        <v>162.41</v>
      </c>
      <c r="B32" t="s">
        <v>37</v>
      </c>
      <c r="C32" s="16" t="s">
        <v>38</v>
      </c>
    </row>
    <row r="33" ht="15" customHeight="1" spans="1:3">
      <c r="A33" s="2">
        <v>42.16</v>
      </c>
      <c r="B33" t="s">
        <v>25</v>
      </c>
      <c r="C33" s="16" t="s">
        <v>35</v>
      </c>
    </row>
    <row r="34" ht="15" customHeight="1" spans="1:3">
      <c r="A34" s="2">
        <v>1000</v>
      </c>
      <c r="B34" t="s">
        <v>25</v>
      </c>
      <c r="C34" s="16" t="s">
        <v>26</v>
      </c>
    </row>
    <row r="35" ht="15" customHeight="1" spans="1:3">
      <c r="A35" s="5">
        <v>500</v>
      </c>
      <c r="B35" s="17" t="s">
        <v>9</v>
      </c>
      <c r="C35" s="18" t="s">
        <v>39</v>
      </c>
    </row>
    <row r="36" ht="15" customHeight="1" spans="1:3">
      <c r="A36" s="5">
        <v>1300</v>
      </c>
      <c r="B36" s="17" t="s">
        <v>25</v>
      </c>
      <c r="C36" s="18" t="s">
        <v>40</v>
      </c>
    </row>
    <row r="37" ht="15" customHeight="1" spans="1:3">
      <c r="A37" s="5">
        <v>253.84</v>
      </c>
      <c r="B37" s="17" t="s">
        <v>25</v>
      </c>
      <c r="C37" s="18" t="s">
        <v>36</v>
      </c>
    </row>
    <row r="38" ht="15" customHeight="1" spans="1:3">
      <c r="A38" s="5">
        <v>1000</v>
      </c>
      <c r="B38" s="17" t="s">
        <v>25</v>
      </c>
      <c r="C38" s="18" t="s">
        <v>26</v>
      </c>
    </row>
    <row r="39" ht="15" customHeight="1" spans="1:3">
      <c r="A39" s="5">
        <v>355.3</v>
      </c>
      <c r="B39" s="17" t="s">
        <v>25</v>
      </c>
      <c r="C39" s="18" t="s">
        <v>36</v>
      </c>
    </row>
    <row r="40" ht="15" customHeight="1" spans="1:3">
      <c r="A40" s="5">
        <v>3000</v>
      </c>
      <c r="B40" s="17" t="s">
        <v>25</v>
      </c>
      <c r="C40" s="18" t="s">
        <v>41</v>
      </c>
    </row>
    <row r="41" ht="15" customHeight="1" spans="1:3">
      <c r="A41" s="5">
        <v>174</v>
      </c>
      <c r="B41" s="17" t="s">
        <v>25</v>
      </c>
      <c r="C41" s="18" t="s">
        <v>36</v>
      </c>
    </row>
    <row r="42" ht="15" customHeight="1" spans="1:3">
      <c r="A42" s="5">
        <v>33.6</v>
      </c>
      <c r="B42" s="17" t="s">
        <v>14</v>
      </c>
      <c r="C42" s="18" t="s">
        <v>42</v>
      </c>
    </row>
    <row r="43" ht="15" customHeight="1" spans="1:3">
      <c r="A43" s="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6"/>
  <sheetViews>
    <sheetView workbookViewId="0">
      <selection activeCell="A20" sqref="A20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2" t="s">
        <v>43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44</v>
      </c>
    </row>
    <row r="3" customHeight="1" spans="1:3">
      <c r="A3" s="2">
        <v>12000</v>
      </c>
      <c r="B3" s="3" t="s">
        <v>45</v>
      </c>
      <c r="C3" s="3" t="s">
        <v>46</v>
      </c>
    </row>
    <row r="4" customHeight="1" spans="1:3">
      <c r="A4" s="2">
        <v>1000</v>
      </c>
      <c r="B4" s="3" t="s">
        <v>25</v>
      </c>
      <c r="C4" s="3" t="s">
        <v>26</v>
      </c>
    </row>
    <row r="5" customHeight="1" spans="1:3">
      <c r="A5" s="2">
        <v>13260</v>
      </c>
      <c r="B5" s="3" t="s">
        <v>25</v>
      </c>
      <c r="C5" s="3" t="s">
        <v>27</v>
      </c>
    </row>
    <row r="6" customHeight="1" spans="1:3">
      <c r="A6" s="2">
        <v>600</v>
      </c>
      <c r="B6" s="3" t="s">
        <v>32</v>
      </c>
      <c r="C6" s="3" t="s">
        <v>34</v>
      </c>
    </row>
    <row r="7" customHeight="1" spans="1:3">
      <c r="A7" s="2">
        <v>938</v>
      </c>
      <c r="B7" s="3" t="s">
        <v>25</v>
      </c>
      <c r="C7" s="3" t="s">
        <v>35</v>
      </c>
    </row>
    <row r="8" customHeight="1" spans="1:3">
      <c r="A8" s="2">
        <v>1000</v>
      </c>
      <c r="B8" s="3" t="s">
        <v>25</v>
      </c>
      <c r="C8" s="3" t="s">
        <v>26</v>
      </c>
    </row>
    <row r="9" customHeight="1" spans="1:3">
      <c r="A9" s="2">
        <v>60.5</v>
      </c>
      <c r="B9" s="3" t="s">
        <v>25</v>
      </c>
      <c r="C9" s="3" t="s">
        <v>36</v>
      </c>
    </row>
    <row r="10" customHeight="1" spans="1:3">
      <c r="A10" s="2">
        <v>162.41</v>
      </c>
      <c r="B10" s="3" t="s">
        <v>37</v>
      </c>
      <c r="C10" s="3" t="s">
        <v>38</v>
      </c>
    </row>
    <row r="11" customHeight="1" spans="1:3">
      <c r="A11" s="2">
        <v>42.16</v>
      </c>
      <c r="B11" s="3" t="s">
        <v>25</v>
      </c>
      <c r="C11" s="3" t="s">
        <v>35</v>
      </c>
    </row>
    <row r="12" customHeight="1" spans="1:3">
      <c r="A12" s="2">
        <v>1000</v>
      </c>
      <c r="B12" s="3" t="s">
        <v>25</v>
      </c>
      <c r="C12" s="3" t="s">
        <v>26</v>
      </c>
    </row>
    <row r="13" customHeight="1" spans="1:3">
      <c r="A13" s="5">
        <v>1300</v>
      </c>
      <c r="B13" s="4" t="s">
        <v>25</v>
      </c>
      <c r="C13" s="4" t="s">
        <v>47</v>
      </c>
    </row>
    <row r="14" customHeight="1" spans="1:3">
      <c r="A14" s="5">
        <v>253.84</v>
      </c>
      <c r="B14" s="4" t="s">
        <v>25</v>
      </c>
      <c r="C14" s="4" t="s">
        <v>36</v>
      </c>
    </row>
    <row r="15" customHeight="1" spans="1:3">
      <c r="A15" s="5">
        <v>1000</v>
      </c>
      <c r="B15" s="4" t="s">
        <v>25</v>
      </c>
      <c r="C15" s="3" t="s">
        <v>26</v>
      </c>
    </row>
    <row r="16" customHeight="1" spans="1:3">
      <c r="A16" s="5">
        <v>355.3</v>
      </c>
      <c r="B16" s="4" t="s">
        <v>25</v>
      </c>
      <c r="C16" s="4" t="s">
        <v>36</v>
      </c>
    </row>
    <row r="17" customHeight="1" spans="1:3">
      <c r="A17" s="5">
        <v>3000</v>
      </c>
      <c r="B17" s="4" t="s">
        <v>25</v>
      </c>
      <c r="C17" s="4" t="s">
        <v>41</v>
      </c>
    </row>
    <row r="18" customHeight="1" spans="1:3">
      <c r="A18" s="5">
        <v>174</v>
      </c>
      <c r="B18" s="4" t="s">
        <v>25</v>
      </c>
      <c r="C18" s="4" t="s">
        <v>36</v>
      </c>
    </row>
    <row r="19" customHeight="1" spans="1:3">
      <c r="A19" s="5">
        <v>33.6</v>
      </c>
      <c r="B19" s="4" t="s">
        <v>14</v>
      </c>
      <c r="C19" s="4" t="s">
        <v>42</v>
      </c>
    </row>
    <row r="20" customHeight="1" spans="1:3">
      <c r="A20" s="5">
        <v>500</v>
      </c>
      <c r="B20" s="4" t="s">
        <v>25</v>
      </c>
      <c r="C20" s="4" t="s">
        <v>26</v>
      </c>
    </row>
    <row r="21" customHeight="1" spans="1:3">
      <c r="A21" s="10"/>
      <c r="B21" s="11"/>
      <c r="C21" s="3"/>
    </row>
    <row r="22" customHeight="1" spans="1:3">
      <c r="A22" s="10"/>
      <c r="B22" s="11"/>
      <c r="C22" s="3"/>
    </row>
    <row r="23" customHeight="1" spans="1:3">
      <c r="A23" s="10"/>
      <c r="B23" s="11"/>
      <c r="C23" s="3"/>
    </row>
    <row r="24" customHeight="1" spans="1:3">
      <c r="A24" s="10" t="s">
        <v>48</v>
      </c>
      <c r="B24" s="11" t="s">
        <v>4</v>
      </c>
      <c r="C24" s="3" t="s">
        <v>5</v>
      </c>
    </row>
    <row r="25" customHeight="1" spans="1:3">
      <c r="A25" s="12">
        <v>6683.96</v>
      </c>
      <c r="B25" s="11" t="s">
        <v>49</v>
      </c>
      <c r="C25" s="3"/>
    </row>
    <row r="26" customHeight="1" spans="1:3">
      <c r="A26" s="12">
        <v>1861.8</v>
      </c>
      <c r="B26" s="11" t="s">
        <v>50</v>
      </c>
      <c r="C26" s="3"/>
    </row>
    <row r="27" customHeight="1" spans="1:3">
      <c r="A27" s="12">
        <v>0</v>
      </c>
      <c r="B27" s="11" t="s">
        <v>51</v>
      </c>
      <c r="C27" s="3"/>
    </row>
    <row r="28" customHeight="1" spans="1:3">
      <c r="A28" s="12">
        <v>19919.1</v>
      </c>
      <c r="B28" s="11" t="s">
        <v>52</v>
      </c>
      <c r="C28" s="3"/>
    </row>
    <row r="29" customHeight="1" spans="1:3">
      <c r="A29" s="12">
        <v>13970.88</v>
      </c>
      <c r="B29" s="11" t="s">
        <v>53</v>
      </c>
      <c r="C29" s="3"/>
    </row>
    <row r="32" customHeight="1" spans="1:3">
      <c r="A32" s="10" t="s">
        <v>54</v>
      </c>
      <c r="B32" s="13">
        <f>SUM(成本明细表_6[成本明细])</f>
        <v>41012.81</v>
      </c>
      <c r="C32" s="14"/>
    </row>
    <row r="33" customHeight="1" spans="1:3">
      <c r="A33" s="10" t="s">
        <v>55</v>
      </c>
      <c r="B33" s="13">
        <f>SUM(营业额明细表_5[营业额明细])</f>
        <v>42435.74</v>
      </c>
      <c r="C33" s="15"/>
    </row>
    <row r="34" customHeight="1" spans="1:3">
      <c r="A34" s="10" t="s">
        <v>56</v>
      </c>
      <c r="C34" s="15"/>
    </row>
    <row r="36" customHeight="1" spans="1:1">
      <c r="A36" t="s">
        <v>57</v>
      </c>
    </row>
  </sheetData>
  <dataValidations count="2">
    <dataValidation type="list" allowBlank="1" showInputMessage="1" showErrorMessage="1" sqref="B16:B19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2"/>
  <sheetViews>
    <sheetView tabSelected="1" workbookViewId="0">
      <selection activeCell="E19" sqref="E19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3">
      <c r="A1" s="2" t="s">
        <v>43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44</v>
      </c>
    </row>
    <row r="3" customHeight="1" spans="1:3">
      <c r="A3" s="2">
        <v>18000</v>
      </c>
      <c r="B3" s="3" t="s">
        <v>45</v>
      </c>
      <c r="C3" s="3" t="s">
        <v>58</v>
      </c>
    </row>
    <row r="4" customHeight="1" spans="1:3">
      <c r="A4" s="2">
        <v>4140</v>
      </c>
      <c r="B4" s="3" t="s">
        <v>25</v>
      </c>
      <c r="C4" s="3" t="s">
        <v>59</v>
      </c>
    </row>
    <row r="5" customHeight="1" spans="1:3">
      <c r="A5" s="2">
        <v>7866</v>
      </c>
      <c r="B5" s="4" t="s">
        <v>25</v>
      </c>
      <c r="C5" s="4" t="s">
        <v>60</v>
      </c>
    </row>
    <row r="6" customHeight="1" spans="1:3">
      <c r="A6" s="2">
        <v>28.64</v>
      </c>
      <c r="B6" s="4" t="s">
        <v>14</v>
      </c>
      <c r="C6" s="4" t="s">
        <v>61</v>
      </c>
    </row>
    <row r="7" customHeight="1" spans="1:3">
      <c r="A7" s="2">
        <v>44.48</v>
      </c>
      <c r="B7" s="4" t="s">
        <v>25</v>
      </c>
      <c r="C7" s="4" t="s">
        <v>36</v>
      </c>
    </row>
    <row r="8" customHeight="1" spans="1:3">
      <c r="A8" s="2">
        <v>3000</v>
      </c>
      <c r="B8" s="4" t="s">
        <v>25</v>
      </c>
      <c r="C8" s="4" t="s">
        <v>26</v>
      </c>
    </row>
    <row r="9" customHeight="1" spans="1:3">
      <c r="A9" s="2">
        <v>23</v>
      </c>
      <c r="B9" s="4" t="s">
        <v>25</v>
      </c>
      <c r="C9" s="4" t="s">
        <v>62</v>
      </c>
    </row>
    <row r="10" customHeight="1" spans="1:3">
      <c r="A10" s="2">
        <v>468</v>
      </c>
      <c r="B10" s="4" t="s">
        <v>25</v>
      </c>
      <c r="C10" s="4" t="s">
        <v>63</v>
      </c>
    </row>
    <row r="11" customHeight="1" spans="1:3">
      <c r="A11" s="2">
        <v>385</v>
      </c>
      <c r="B11" s="4" t="s">
        <v>25</v>
      </c>
      <c r="C11" s="4" t="s">
        <v>64</v>
      </c>
    </row>
    <row r="12" s="1" customFormat="1" customHeight="1" spans="1:3">
      <c r="A12" s="2">
        <v>295</v>
      </c>
      <c r="B12" s="4" t="s">
        <v>25</v>
      </c>
      <c r="C12" s="4" t="s">
        <v>65</v>
      </c>
    </row>
    <row r="13" s="1" customFormat="1" customHeight="1" spans="1:3">
      <c r="A13" s="2">
        <v>718</v>
      </c>
      <c r="B13" s="4" t="s">
        <v>25</v>
      </c>
      <c r="C13" s="4" t="s">
        <v>66</v>
      </c>
    </row>
    <row r="14" s="1" customFormat="1" customHeight="1" spans="1:3">
      <c r="A14" s="2">
        <v>57.6</v>
      </c>
      <c r="B14" s="4" t="s">
        <v>25</v>
      </c>
      <c r="C14" s="4" t="s">
        <v>67</v>
      </c>
    </row>
    <row r="15" customHeight="1" spans="1:3">
      <c r="A15" s="2">
        <v>302.5</v>
      </c>
      <c r="B15" s="4" t="s">
        <v>25</v>
      </c>
      <c r="C15" s="4" t="s">
        <v>68</v>
      </c>
    </row>
    <row r="16" customHeight="1" spans="1:3">
      <c r="A16" s="2">
        <v>1000</v>
      </c>
      <c r="B16" s="4" t="s">
        <v>32</v>
      </c>
      <c r="C16" s="4" t="s">
        <v>69</v>
      </c>
    </row>
    <row r="17" customHeight="1" spans="1:3">
      <c r="A17" s="5">
        <v>225</v>
      </c>
      <c r="B17" s="4" t="s">
        <v>25</v>
      </c>
      <c r="C17" s="4" t="s">
        <v>70</v>
      </c>
    </row>
    <row r="18" customHeight="1" spans="1:3">
      <c r="A18" s="5">
        <v>350</v>
      </c>
      <c r="B18" s="4" t="s">
        <v>25</v>
      </c>
      <c r="C18" s="4" t="s">
        <v>71</v>
      </c>
    </row>
    <row r="19" customHeight="1" spans="1:3">
      <c r="A19" s="6">
        <v>112</v>
      </c>
      <c r="B19" s="7" t="s">
        <v>25</v>
      </c>
      <c r="C19" s="7" t="s">
        <v>72</v>
      </c>
    </row>
    <row r="20" customHeight="1" spans="1:3">
      <c r="A20" s="8">
        <v>198</v>
      </c>
      <c r="B20" s="9" t="s">
        <v>25</v>
      </c>
      <c r="C20" s="9" t="s">
        <v>73</v>
      </c>
    </row>
    <row r="21" customHeight="1" spans="1:3">
      <c r="A21" s="10"/>
      <c r="B21" s="11"/>
      <c r="C21" s="3"/>
    </row>
    <row r="22" customHeight="1" spans="1:3">
      <c r="A22" s="10" t="s">
        <v>48</v>
      </c>
      <c r="B22" s="11" t="s">
        <v>4</v>
      </c>
      <c r="C22" s="3" t="s">
        <v>5</v>
      </c>
    </row>
    <row r="23" customHeight="1" spans="1:3">
      <c r="A23" s="12">
        <v>0</v>
      </c>
      <c r="B23" s="11" t="s">
        <v>74</v>
      </c>
      <c r="C23" s="3"/>
    </row>
    <row r="24" customHeight="1" spans="1:3">
      <c r="A24" s="12">
        <v>0</v>
      </c>
      <c r="B24" s="11" t="s">
        <v>75</v>
      </c>
      <c r="C24" s="3"/>
    </row>
    <row r="25" customHeight="1" spans="1:3">
      <c r="A25" s="12">
        <v>0</v>
      </c>
      <c r="B25" s="11" t="s">
        <v>76</v>
      </c>
      <c r="C25" s="3"/>
    </row>
    <row r="26" customHeight="1" spans="1:3">
      <c r="A26" s="12">
        <v>0</v>
      </c>
      <c r="B26" s="11" t="s">
        <v>77</v>
      </c>
      <c r="C26" s="3"/>
    </row>
    <row r="29" customHeight="1" spans="1:3">
      <c r="A29" s="10" t="s">
        <v>54</v>
      </c>
      <c r="B29" s="13">
        <f>SUM(成本明细表[成本明细])</f>
        <v>41546.22</v>
      </c>
      <c r="C29" s="14"/>
    </row>
    <row r="30" customHeight="1" spans="1:3">
      <c r="A30" s="10" t="s">
        <v>55</v>
      </c>
      <c r="B30" s="13">
        <f>SUM(营业额明细表[营业额明细])</f>
        <v>0</v>
      </c>
      <c r="C30" s="15"/>
    </row>
    <row r="31" customHeight="1" spans="1:3">
      <c r="A31" s="10" t="s">
        <v>78</v>
      </c>
      <c r="C31" s="15"/>
    </row>
    <row r="32" customHeight="1" spans="1:1">
      <c r="A32" t="s">
        <v>79</v>
      </c>
    </row>
  </sheetData>
  <dataValidations count="1">
    <dataValidation type="list" allowBlank="1" showInputMessage="1" showErrorMessage="1" sqref="B20 B2:B19">
      <formula1>"房租,其他,食材,推广,水电,工资"</formula1>
    </dataValidation>
  </dataValidations>
  <pageMargins left="0.7" right="0.7" top="0.75" bottom="0.75" header="0.3" footer="0.3"/>
  <headerFooter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2026-02-04T19:28:00Z</dcterms:created>
  <dcterms:modified xsi:type="dcterms:W3CDTF">2026-03-03T11:51:32Z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