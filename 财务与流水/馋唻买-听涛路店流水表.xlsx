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40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<sst xmlns="http://schemas.openxmlformats.org/spreadsheetml/2006/main" count="538" uniqueCount="174">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</sst>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8" formatCode="0.00_ ;[Red]\-0.00\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40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24" fillId="42" borderId="10" applyNumberFormat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7" fillId="26" borderId="10" applyNumberFormat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6" fillId="24" borderId="9" applyNumberFormat="0" applyAlignment="0" applyProtection="0">
      <alignment vertical="center"/>
    </xf>
    <xf numFmtId="0" fontId="22" fillId="26" borderId="13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8">
  <autoFilter ref="A41:C58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29" workbookViewId="0">
      <selection activeCell="D46" sqref="D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8"/>
  <sheetViews>
    <sheetView tabSelected="1" topLeftCell="A32" workbookViewId="0">
      <selection activeCell="A56" sqref="A5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34321.82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-12564.82</v>
      </c>
      <c r="C5" s="10" t="s">
        <v>49</v>
      </c>
    </row>
    <row r="6" customHeight="1" spans="1:3">
      <c r="A6" s="10" t="s">
        <v>52</v>
      </c>
      <c r="B6" s="11">
        <f>$B$3-$B$4</f>
        <v>-34321.82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12564.82</v>
      </c>
      <c r="C23" s="12">
        <f>$B$23/$B$4</f>
        <v>0.366088395079282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0.349631808569592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0.12624621887767</v>
      </c>
    </row>
    <row r="26" customHeight="1" spans="1:3">
      <c r="A26" s="10" t="s">
        <v>32</v>
      </c>
      <c r="B26" s="11">
        <f>SUMIF(支出明细26049[分类],"推广",支出明细26049[支出明细])</f>
        <v>400</v>
      </c>
      <c r="C26" s="12">
        <f>$B$26/$B$4</f>
        <v>0.0116543936189864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0.087407952142398</v>
      </c>
    </row>
    <row r="28" customHeight="1" spans="1:3">
      <c r="A28" s="10" t="s">
        <v>14</v>
      </c>
      <c r="B28" s="11">
        <f>SUMIF(支出明细26049[分类],"其他",支出明细26049[支出明细])</f>
        <v>2024</v>
      </c>
      <c r="C28" s="12">
        <f>$B$28/$B$4</f>
        <v>0.0589712317120712</v>
      </c>
    </row>
    <row r="29" customHeight="1" spans="1:3">
      <c r="A29" s="23" t="s">
        <v>65</v>
      </c>
      <c r="B29" s="24">
        <f>SUM(B23:B28)</f>
        <v>34321.82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162</v>
      </c>
    </row>
    <row r="44" hidden="1" customHeight="1" spans="1:3">
      <c r="A44" s="26">
        <v>3000</v>
      </c>
      <c r="B44" s="28" t="s">
        <v>37</v>
      </c>
      <c r="C44" s="28" t="s">
        <v>162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hidden="1" customHeight="1" spans="1:3">
      <c r="A48" s="26">
        <v>1275</v>
      </c>
      <c r="B48" s="2" t="s">
        <v>14</v>
      </c>
      <c r="C48" s="2" t="s">
        <v>159</v>
      </c>
    </row>
    <row r="49" customHeight="1" spans="1:3">
      <c r="A49" s="26">
        <v>200</v>
      </c>
      <c r="B49" s="2" t="s">
        <v>14</v>
      </c>
      <c r="C49" s="2" t="s">
        <v>165</v>
      </c>
    </row>
    <row r="50" customHeight="1" spans="1:3">
      <c r="A50" s="26">
        <v>678</v>
      </c>
      <c r="B50" s="2" t="s">
        <v>25</v>
      </c>
      <c r="C50" s="2" t="s">
        <v>166</v>
      </c>
    </row>
    <row r="51" customHeight="1" spans="1:3">
      <c r="A51" s="26">
        <v>6795</v>
      </c>
      <c r="B51" s="2" t="s">
        <v>25</v>
      </c>
      <c r="C51" s="2" t="s">
        <v>167</v>
      </c>
    </row>
    <row r="52" customHeight="1" spans="1:3">
      <c r="A52" s="26">
        <v>50</v>
      </c>
      <c r="B52" s="2" t="s">
        <v>14</v>
      </c>
      <c r="C52" s="2" t="s">
        <v>144</v>
      </c>
    </row>
    <row r="53" customHeight="1" spans="1:3">
      <c r="A53" s="26">
        <v>500</v>
      </c>
      <c r="B53" s="2" t="s">
        <v>25</v>
      </c>
      <c r="C53" s="2" t="s">
        <v>168</v>
      </c>
    </row>
    <row r="54" customHeight="1" spans="1:3">
      <c r="A54" s="26">
        <v>300</v>
      </c>
      <c r="B54" s="2" t="s">
        <v>32</v>
      </c>
      <c r="C54" s="2" t="s">
        <v>169</v>
      </c>
    </row>
    <row r="55" customHeight="1" spans="1:3">
      <c r="A55" s="26">
        <v>860</v>
      </c>
      <c r="B55" s="2" t="s">
        <v>25</v>
      </c>
      <c r="C55" s="2" t="s">
        <v>170</v>
      </c>
    </row>
    <row r="56" customHeight="1" spans="1:3">
      <c r="A56" s="26">
        <v>499</v>
      </c>
      <c r="B56" s="2" t="s">
        <v>14</v>
      </c>
      <c r="C56" s="2" t="s">
        <v>171</v>
      </c>
    </row>
    <row r="57" customHeight="1" spans="1:3">
      <c r="A57" s="26">
        <v>214.9</v>
      </c>
      <c r="B57" s="2" t="s">
        <v>25</v>
      </c>
      <c r="C57" s="2" t="s">
        <v>172</v>
      </c>
    </row>
    <row r="58" customHeight="1" spans="1:3">
      <c r="A58" s="26">
        <v>100</v>
      </c>
      <c r="B58" s="2" t="s">
        <v>32</v>
      </c>
      <c r="C58" s="2" t="s">
        <v>173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56 B57 B58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2026-03-02T11:28:00Z</dcterms:created>
  <dcterms:modified xsi:type="dcterms:W3CDTF">2026-05-14T09:59:30Z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