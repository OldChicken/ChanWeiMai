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<sst xmlns="http://schemas.openxmlformats.org/spreadsheetml/2006/main" count="1019" uniqueCount="223">
  <si>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</si>
  <si>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</si>
  <si>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</si>
  <si>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</si>
  <si>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</si>
  <si>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</si>
  <si>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</si>
  <si>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</si>
  <si>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</si>
  <si>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</si>
  <si>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</si>
  <si>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</si>
  <si>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</si>
  <si>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</si>
  <si>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</si>
  <si>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</si>
  <si>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</si>
  <si>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</si>
  <si>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</si>
  <si>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</si>
  <si>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</si>
  <si>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</si>
  <si>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</si>
  <si>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</si>
  <si>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</si>
  <si>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</si>
  <si>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</si>
  <si>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</si>
  <si>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</si>
  <si>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</si>
  <si>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</si>
  <si>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</si>
  <si>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</si>
  <si>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</si>
  <si>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</si>
  <si>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</si>
  <si>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</si>
  <si>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</si>
  <si>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</si>
  <si>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</si>
  <si>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</si>
  <si>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</si>
  <si>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</si>
  <si>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</si>
  <si>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</si>
  <si>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</si>
  <si>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</si>
  <si>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</si>
  <si>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</si>
  <si>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</si>
  <si>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</si>
  <si>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</si>
  <si>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</si>
  <si>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</si>
  <si>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</si>
  <si>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</si>
  <si>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</si>
  <si>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</si>
  <si>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</si>
  <si>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</si>
  <si>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</si>
  <si>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</si>
  <si>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</si>
  <si>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</si>
  <si>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</si>
  <si>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</si>
  <si>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</si>
  <si>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</si>
  <si>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</si>
  <si>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</si>
  <si>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</si>
  <si>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</si>
  <si>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</si>
  <si>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</si>
  <si>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</si>
  <si>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</si>
  <si>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</si>
  <si>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</si>
  <si>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</si>
  <si>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</si>
  <si>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</si>
  <si>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</si>
  <si>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</si>
  <si>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</si>
  <si>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</si>
  <si>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</si>
  <si>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</si>
  <si>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</si>
  <si>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</si>
  <si>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</si>
  <si>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</si>
  <si>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</si>
  <si>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</si>
  <si>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</si>
  <si>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</si>
  <si>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</si>
  <si>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</si>
  <si>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</si>
  <si>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</si>
  <si>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</si>
  <si>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</si>
  <si>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</si>
  <si>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</si>
  <si>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</si>
  <si>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</si>
  <si>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</si>
  <si>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</si>
  <si>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</si>
  <si>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</si>
  <si>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</si>
  <si>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</si>
  <si>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</si>
  <si>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</si>
  <si>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</si>
  <si>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</si>
  <si>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</si>
  <si>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</si>
  <si>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</si>
  <si>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</si>
  <si>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</si>
  <si>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</si>
  <si>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</si>
  <si>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</si>
  <si>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</si>
  <si>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</si>
  <si>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</si>
  <si>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</si>
  <si>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</si>
  <si>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</si>
  <si>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</si>
  <si>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</si>
  <si>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</si>
  <si>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</si>
  <si>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</si>
  <si>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</si>
  <si>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</si>
  <si>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</si>
  <si>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</si>
  <si>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</si>
  <si>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</si>
  <si>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</si>
  <si>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</si>
  <si>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</si>
  <si>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</si>
  <si>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</si>
  <si>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</si>
  <si>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</si>
  <si>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</si>
  <si>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</si>
  <si>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</si>
  <si>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</si>
  <si>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</si>
  <si>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</si>
  <si>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</si>
  <si>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</si>
  <si>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</si>
  <si>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</si>
  <si>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</si>
  <si>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</si>
  <si>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</si>
  <si>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</si>
  <si>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</si>
  <si>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</si>
  <si>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</si>
  <si>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</si>
  <si>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</si>
  <si>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</si>
  <si>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</si>
  <si>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</si>
  <si>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</si>
  <si>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</si>
  <si>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</si>
  <si>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</si>
  <si>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</si>
  <si>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</si>
  <si>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</si>
  <si>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</si>
  <si>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</si>
  <si>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</si>
  <si>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</si>
  <si>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</si>
  <si>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</si>
  <si>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</si>
  <si>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</si>
  <si>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</si>
  <si>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</si>
  <si>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</si>
  <si>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</si>
  <si>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</si>
  <si>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</si>
  <si>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</si>
  <si>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</si>
  <si>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</si>
  <si>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</si>
  <si>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</si>
  <si>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</si>
  <si>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</si>
  <si>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</si>
  <si>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</si>
  <si>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</si>
  <si>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</si>
  <si>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</si>
  <si>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</si>
  <si>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</si>
  <si>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</si>
  <si>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</si>
  <si>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</si>
  <si>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</si>
  <si>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</si>
  <si>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</si>
  <si>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</si>
  <si>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</si>
  <si>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</si>
  <si>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</si>
  <si>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</si>
  <si>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</si>
  <si>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</si>
  <si>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</si>
  <si>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</si>
  <si>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</si>
  <si>
    <t>老池垫付</t>
  </si>
  <si>
    <t>香菜</t>
  </si>
  <si>
    <t>酸笋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</si>
</sst>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2" formatCode="_ &quot;￥&quot;* #,##0_ ;_ &quot;￥&quot;* \-#,##0_ ;_ &quot;￥&quot;* &quot;-&quot;_ ;_ @_ "/>
    <numFmt numFmtId="177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8" formatCode="#,##0.00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0" fillId="42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  <xf numFmtId="0" fontId="20" fillId="25" borderId="11" applyNumberFormat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4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2" fillId="32" borderId="11" applyNumberFormat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15" fillId="20" borderId="9" applyNumberFormat="0" applyAlignment="0" applyProtection="0">
      <alignment vertical="center"/>
    </xf>
    <xf numFmtId="0" fontId="24" fillId="32" borderId="1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62">
  <autoFilter ref="A43:C6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2"/>
  <sheetViews>
    <sheetView tabSelected="1" topLeftCell="A14" workbookViewId="0">
      <selection activeCell="B7" sqref="B7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36923.89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34512.14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17744.75</v>
      </c>
      <c r="C5" s="15" t="s">
        <v>49</v>
      </c>
    </row>
    <row r="6" customHeight="1" spans="1:3">
      <c r="A6" s="13" t="s">
        <v>52</v>
      </c>
      <c r="B6" s="14">
        <f>$B$3-$B$4</f>
        <v>2411.75</v>
      </c>
      <c r="C6" s="15" t="s">
        <v>49</v>
      </c>
    </row>
    <row r="7" customHeight="1" spans="1:3">
      <c r="A7" s="13" t="s">
        <v>53</v>
      </c>
      <c r="B7" s="16">
        <f>$B$5/$B$3</f>
        <v>0.480576396473936</v>
      </c>
      <c r="C7" s="15" t="s">
        <v>54</v>
      </c>
    </row>
    <row r="8" customHeight="1" spans="1:3">
      <c r="A8" s="13" t="s">
        <v>55</v>
      </c>
      <c r="B8" s="16">
        <f>$B$6/$B$3</f>
        <v>0.0653167908365018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16613.36</v>
      </c>
      <c r="C13" s="16">
        <f>$B$13/$B$3</f>
        <v>0.449935258717324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14177.95</v>
      </c>
      <c r="C14" s="16">
        <f>$B$14/$B$3</f>
        <v>0.383977690324611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40.11</v>
      </c>
      <c r="C15" s="16">
        <f>$B$15/$B$3</f>
        <v>0.00108628857902025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2839.61</v>
      </c>
      <c r="C16" s="16">
        <f>$B$16/$B$3</f>
        <v>0.0769044106674567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2057.57</v>
      </c>
      <c r="C17" s="16">
        <f>$B$17/$B$3</f>
        <v>0.0557246270639415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1195.29</v>
      </c>
      <c r="C18" s="16">
        <f>$B$18/$B$3</f>
        <v>0.0323717246476468</v>
      </c>
    </row>
    <row r="19" customHeight="1" spans="1:3">
      <c r="A19" s="20" t="s">
        <v>65</v>
      </c>
      <c r="B19" s="21">
        <f>SUM(B13:B18)</f>
        <v>36923.89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19179.14</v>
      </c>
      <c r="C24" s="16">
        <f>$B$24/$B$4</f>
        <v>0.555721551894493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0.246290146018184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0.125550023846681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2500</v>
      </c>
      <c r="C28" s="16">
        <f>$B$28/$B$4</f>
        <v>0.0724382782406423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34512.14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2692.66</v>
      </c>
      <c r="B34" s="32" t="s">
        <v>62</v>
      </c>
      <c r="C34" s="33" t="s">
        <v>136</v>
      </c>
    </row>
    <row r="35" customHeight="1" spans="1:3">
      <c r="A35" s="34">
        <v>146.95</v>
      </c>
      <c r="B35" s="32" t="s">
        <v>62</v>
      </c>
      <c r="C35" s="33" t="s">
        <v>137</v>
      </c>
    </row>
    <row r="36" customHeight="1" spans="1:3">
      <c r="A36" s="34">
        <v>2057.57</v>
      </c>
      <c r="B36" s="32" t="s">
        <v>63</v>
      </c>
      <c r="C36" s="33"/>
    </row>
    <row r="37" customHeight="1" spans="1:3">
      <c r="A37" s="34">
        <v>1195.29</v>
      </c>
      <c r="B37" s="32" t="s">
        <v>64</v>
      </c>
      <c r="C37" s="33"/>
    </row>
    <row r="38" customHeight="1" spans="1:3">
      <c r="A38" s="34">
        <v>16613.36</v>
      </c>
      <c r="B38" s="32" t="s">
        <v>60</v>
      </c>
      <c r="C38" s="33"/>
    </row>
    <row r="39" customHeight="1" spans="1:3">
      <c r="A39" s="34">
        <v>14177.95</v>
      </c>
      <c r="B39" s="32" t="s">
        <v>61</v>
      </c>
      <c r="C39" s="33"/>
    </row>
    <row r="40" customHeight="1" spans="1:3">
      <c r="A40" s="1">
        <v>40.11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  <row r="57" customHeight="1" spans="1:3">
      <c r="A57" s="1">
        <v>885</v>
      </c>
      <c r="B57" s="2" t="s">
        <v>25</v>
      </c>
      <c r="C57" s="2" t="s">
        <v>207</v>
      </c>
    </row>
    <row r="58" customHeight="1" spans="1:3">
      <c r="A58" s="1">
        <v>805</v>
      </c>
      <c r="B58" s="2" t="s">
        <v>25</v>
      </c>
      <c r="C58" s="2" t="s">
        <v>168</v>
      </c>
    </row>
    <row r="59" customHeight="1" spans="1:3">
      <c r="A59" s="1">
        <v>300</v>
      </c>
      <c r="B59" s="2" t="s">
        <v>25</v>
      </c>
      <c r="C59" s="2" t="s">
        <v>220</v>
      </c>
    </row>
    <row r="60" customHeight="1" spans="1:3">
      <c r="A60" s="1">
        <v>5578</v>
      </c>
      <c r="B60" s="2" t="s">
        <v>25</v>
      </c>
      <c r="C60" s="2" t="s">
        <v>172</v>
      </c>
    </row>
    <row r="61" customHeight="1" spans="1:3">
      <c r="A61" s="1">
        <v>1000</v>
      </c>
      <c r="B61" s="2" t="s">
        <v>25</v>
      </c>
      <c r="C61" s="2" t="s">
        <v>26</v>
      </c>
    </row>
    <row r="62" customHeight="1" spans="1:3">
      <c r="A62" s="1">
        <v>25.8</v>
      </c>
      <c r="B62" s="2" t="s">
        <v>25</v>
      </c>
      <c r="C62" s="2" t="s">
        <v>221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1"/>
  <sheetViews>
    <sheetView workbookViewId="0">
      <selection activeCell="D51" sqref="D5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23549.5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-7716.5</v>
      </c>
      <c r="C5" s="15" t="s">
        <v>49</v>
      </c>
    </row>
    <row r="6" customHeight="1" spans="1:3">
      <c r="A6" s="13" t="s">
        <v>52</v>
      </c>
      <c r="B6" s="14">
        <f>$B$3-$B$4</f>
        <v>-23549.5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7716.5</v>
      </c>
      <c r="C24" s="16">
        <f>$B$24/$B$4</f>
        <v>0.327671500456485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0.360941845899064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0.18399541391537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0.127391239729081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23549.5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272.2</v>
      </c>
      <c r="B47" s="2" t="s">
        <v>25</v>
      </c>
      <c r="C47" s="2" t="s">
        <v>170</v>
      </c>
    </row>
    <row r="48" customHeight="1" spans="1:3">
      <c r="A48" s="1">
        <v>6182</v>
      </c>
      <c r="B48" s="2" t="s">
        <v>25</v>
      </c>
      <c r="C48" s="2" t="s">
        <v>179</v>
      </c>
    </row>
    <row r="49" customHeight="1" spans="1:3">
      <c r="A49" s="1">
        <v>620</v>
      </c>
      <c r="B49" s="2" t="s">
        <v>25</v>
      </c>
      <c r="C49" s="2" t="s">
        <v>168</v>
      </c>
    </row>
    <row r="50" customHeight="1" spans="1:3">
      <c r="A50" s="1">
        <v>610.8</v>
      </c>
      <c r="B50" s="2" t="s">
        <v>25</v>
      </c>
      <c r="C50" s="2" t="s">
        <v>214</v>
      </c>
    </row>
    <row r="51" customHeight="1" spans="1:3">
      <c r="A51" s="1">
        <v>31.5</v>
      </c>
      <c r="B51" s="2" t="s">
        <v>25</v>
      </c>
      <c r="C51" s="2" t="s">
        <v>222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2026-03-09T19:28:00Z</dcterms:created>
  <dcterms:modified xsi:type="dcterms:W3CDTF">2026-10-01T10:02:33Z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