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<sst xmlns="http://schemas.openxmlformats.org/spreadsheetml/2006/main" count="983" uniqueCount="217">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</sst>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177" formatCode="#,##0.00_ "/>
    <numFmt numFmtId="41" formatCode="_ * #,##0_ ;_ * \-#,##0_ ;_ * &quot;-&quot;_ ;_ @_ "/>
    <numFmt numFmtId="178" formatCode="0.00_ ;[Red]\-0.00\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7" fillId="24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5" fillId="22" borderId="10" applyNumberFormat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23" fillId="19" borderId="10" applyNumberFormat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6" fillId="42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17" fillId="26" borderId="11" applyNumberFormat="0" applyAlignment="0" applyProtection="0">
      <alignment vertical="center"/>
    </xf>
    <xf numFmtId="0" fontId="12" fillId="1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4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opLeftCell="A41"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opLeftCell="A39" workbookViewId="0">
      <selection activeCell="B48" sqref="B48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32589.93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-16737.87</v>
      </c>
      <c r="C5" s="15" t="s">
        <v>49</v>
      </c>
    </row>
    <row r="6" customHeight="1" spans="1:3">
      <c r="A6" s="13" t="s">
        <v>52</v>
      </c>
      <c r="B6" s="14">
        <f>$B$3-$B$4</f>
        <v>-32589.93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0.51359024091184</v>
      </c>
    </row>
    <row r="25" customHeight="1" spans="1:3">
      <c r="A25" s="13" t="s">
        <v>68</v>
      </c>
      <c r="B25" s="14">
        <f>SUMIF(支出明细26049_111914[分类],"工资",支出明细26049_111914[支出明细])</f>
        <v>8500</v>
      </c>
      <c r="C25" s="16">
        <f>$B$25/$B$4</f>
        <v>0.260816761496573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0.132955179713488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0.000584843232249962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0.0920529746458492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32589.93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9"/>
  <sheetViews>
    <sheetView tabSelected="1" topLeftCell="A33" workbookViewId="0">
      <selection activeCell="A35" sqref="A3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17503.7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-1670.7</v>
      </c>
      <c r="C5" s="15" t="s">
        <v>49</v>
      </c>
    </row>
    <row r="6" customHeight="1" spans="1:3">
      <c r="A6" s="13" t="s">
        <v>52</v>
      </c>
      <c r="B6" s="14">
        <f>$B$3-$B$4</f>
        <v>-17503.7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1670.7</v>
      </c>
      <c r="C24" s="16">
        <f>$B$24/$B$4</f>
        <v>0.0954483909116358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0.485611613544565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0.2475476613516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3000</v>
      </c>
      <c r="C28" s="16">
        <f>$B$28/$B$4</f>
        <v>0.171392334192199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17503.7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4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2026-03-07T11:28:00Z</dcterms:created>
  <dcterms:modified xsi:type="dcterms:W3CDTF">2026-08-31T09:45:24Z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