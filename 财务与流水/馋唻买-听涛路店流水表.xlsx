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020" activeTab="4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</sheets>
  <calcPr calcId="144525"/>
</workbook>
</file>

<file path=xl/sharedStrings.xml><?xml version="1.0" encoding="utf-8"?>
<sst xmlns="http://schemas.openxmlformats.org/spreadsheetml/2006/main" count="532" uniqueCount="171">
  <si>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</si>
  <si>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</si>
  <si>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</si>
  <si>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</si>
  <si>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</si>
  <si>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</si>
  <si>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</si>
  <si>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</si>
  <si>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</si>
  <si>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</si>
  <si>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</si>
  <si>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</si>
  <si>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</si>
  <si>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</si>
  <si>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</si>
  <si>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</si>
  <si>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</si>
  <si>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</si>
  <si>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</si>
  <si>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</si>
  <si>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</si>
  <si>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</si>
  <si>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</si>
  <si>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</si>
  <si>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</si>
  <si>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</si>
  <si>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</si>
  <si>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</si>
  <si>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</si>
  <si>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</si>
  <si>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</si>
  <si>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</si>
  <si>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</si>
  <si>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</si>
  <si>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</si>
  <si>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</si>
  <si>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</si>
  <si>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</si>
  <si>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</si>
  <si>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</si>
  <si>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</si>
  <si>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</si>
  <si>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</si>
  <si>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</si>
  <si>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</si>
  <si>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</si>
  <si>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</si>
  <si>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</si>
  <si>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</si>
  <si>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</si>
  <si>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</si>
  <si>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</si>
  <si>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</si>
  <si>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</si>
  <si>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</si>
  <si>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</si>
  <si>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</si>
  <si>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</si>
  <si>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</si>
  <si>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</si>
  <si>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</si>
  <si>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</si>
  <si>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</si>
  <si>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</si>
  <si>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</si>
  <si>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</si>
  <si>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</si>
  <si>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</si>
  <si>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</si>
  <si>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</si>
  <si>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</si>
  <si>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</si>
  <si>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</si>
  <si>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</si>
  <si>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</si>
  <si>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</si>
  <si>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</si>
  <si>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</si>
  <si>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</si>
  <si>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</si>
  <si>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</si>
  <si>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</si>
  <si>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</si>
  <si>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</si>
  <si>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</si>
  <si>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</si>
  <si>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</si>
  <si>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</si>
  <si>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</si>
  <si>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</si>
  <si>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</si>
  <si>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</si>
  <si>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</si>
  <si>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</si>
  <si>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</si>
  <si>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</si>
  <si>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</si>
  <si>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</si>
  <si>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</si>
  <si>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</si>
  <si>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</si>
  <si>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</si>
  <si>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</si>
  <si>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</si>
  <si>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</si>
  <si>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</si>
  <si>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</si>
  <si>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</si>
  <si>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</si>
  <si>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</si>
  <si>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</si>
  <si>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</si>
  <si>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</si>
  <si>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</si>
  <si>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</si>
  <si>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</si>
  <si>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</si>
  <si>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</si>
  <si>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</si>
  <si>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</si>
  <si>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</si>
  <si>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</si>
  <si>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</si>
  <si>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</si>
  <si>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</si>
  <si>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</si>
  <si>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</si>
  <si>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</si>
  <si>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</si>
  <si>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</si>
  <si>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</si>
  <si>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</si>
  <si>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</si>
  <si>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</si>
  <si>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</si>
  <si>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</si>
  <si>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</si>
  <si>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</si>
  <si>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</si>
  <si>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</si>
  <si>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</si>
  <si>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</si>
  <si>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</si>
  <si>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</si>
  <si>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</si>
  <si>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</si>
  <si>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</si>
  <si>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</si>
  <si>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</si>
  <si>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</si>
  <si>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</si>
  <si>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</si>
  <si>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</si>
  <si>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</si>
  <si>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</si>
  <si>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</si>
  <si>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</si>
  <si>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</si>
  <si>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</si>
  <si>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</si>
  <si>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微信堂食-商业码</t>
  </si>
  <si>
    <t>微信堂食-经营码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</si>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</sst>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178" formatCode="0.00_ ;[Red]\-0.00\ 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0061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8" fillId="1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  <xf numFmtId="0" fontId="17" fillId="31" borderId="12" applyNumberFormat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0" fillId="24" borderId="12" applyNumberFormat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8" fillId="32" borderId="13" applyNumberFormat="0" applyAlignment="0" applyProtection="0">
      <alignment vertical="center"/>
    </xf>
    <xf numFmtId="0" fontId="14" fillId="24" borderId="10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0" fillId="20" borderId="8" applyNumberFormat="0" applyFon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55">
  <autoFilter ref="A41:C55">
    <filterColumn colId="1">
      <customFilters>
        <customFilter operator="equal" val="食材"/>
      </customFilters>
    </filterColumn>
  </autoFilter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D46" sqref="D4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5"/>
  <sheetViews>
    <sheetView tabSelected="1" workbookViewId="0">
      <selection activeCell="E47" sqref="E4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0</v>
      </c>
      <c r="C3" s="6" t="s">
        <v>49</v>
      </c>
    </row>
    <row r="4" customHeight="1" spans="1:3">
      <c r="A4" s="8" t="s">
        <v>50</v>
      </c>
      <c r="B4" s="9">
        <f>SUM(支出明细26049[支出明细])</f>
        <v>33507.92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-12349.92</v>
      </c>
      <c r="C5" s="10" t="s">
        <v>49</v>
      </c>
    </row>
    <row r="6" customHeight="1" spans="1:3">
      <c r="A6" s="10" t="s">
        <v>52</v>
      </c>
      <c r="B6" s="11">
        <f>$B$3-$B$4</f>
        <v>-33507.92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SUMIF(收入明细260410[分类],"美团外卖",收入明细260410[收入明细])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SUMIF(收入明细260410[分类],"微信堂食",收入明细260410[收入明细])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SUMIF(收入明细260410[分类],"支付宝堂食",收入明细260410[收入明细])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SUMIF(收入明细260410[分类],"京东外卖",收入明细260410[收入明细])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12349.92</v>
      </c>
      <c r="C23" s="12">
        <f>$B$23/$B$4</f>
        <v>0.368567192472705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0.358124288227977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0.129312711740985</v>
      </c>
    </row>
    <row r="26" customHeight="1" spans="1:3">
      <c r="A26" s="10" t="s">
        <v>32</v>
      </c>
      <c r="B26" s="11">
        <f>SUMIF(支出明细26049[分类],"推广",支出明细26049[支出明细])</f>
        <v>300</v>
      </c>
      <c r="C26" s="12">
        <f>$B$26/$B$4</f>
        <v>0.00895310720569943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0.0895310720569943</v>
      </c>
    </row>
    <row r="28" customHeight="1" spans="1:3">
      <c r="A28" s="10" t="s">
        <v>14</v>
      </c>
      <c r="B28" s="11">
        <f>SUMIF(支出明细26049[分类],"其他",支出明细26049[支出明细])</f>
        <v>1525</v>
      </c>
      <c r="C28" s="12">
        <f>$B$28/$B$4</f>
        <v>0.0455116282956388</v>
      </c>
    </row>
    <row r="29" customHeight="1" spans="1:3">
      <c r="A29" s="23" t="s">
        <v>65</v>
      </c>
      <c r="B29" s="24">
        <f>SUM(B23:B28)</f>
        <v>33507.92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160</v>
      </c>
      <c r="C33" s="28"/>
    </row>
    <row r="34" customHeight="1" spans="1:3">
      <c r="A34" s="29">
        <v>0</v>
      </c>
      <c r="B34" s="27" t="s">
        <v>161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hidden="1" customHeight="1" spans="1:3">
      <c r="A42" s="26">
        <v>4333</v>
      </c>
      <c r="B42" s="28" t="s">
        <v>6</v>
      </c>
      <c r="C42" s="28" t="s">
        <v>72</v>
      </c>
    </row>
    <row r="43" hidden="1" customHeight="1" spans="1:3">
      <c r="A43" s="26">
        <v>12000</v>
      </c>
      <c r="B43" s="28" t="s">
        <v>68</v>
      </c>
      <c r="C43" s="28" t="s">
        <v>162</v>
      </c>
    </row>
    <row r="44" hidden="1" customHeight="1" spans="1:3">
      <c r="A44" s="26">
        <v>3000</v>
      </c>
      <c r="B44" s="28" t="s">
        <v>37</v>
      </c>
      <c r="C44" s="28" t="s">
        <v>162</v>
      </c>
    </row>
    <row r="45" customHeight="1" spans="1:3">
      <c r="A45" s="26">
        <v>2000</v>
      </c>
      <c r="B45" s="27" t="s">
        <v>25</v>
      </c>
      <c r="C45" s="28" t="s">
        <v>163</v>
      </c>
    </row>
    <row r="46" customHeight="1" spans="1:3">
      <c r="A46" s="26">
        <v>915</v>
      </c>
      <c r="B46" s="2" t="s">
        <v>25</v>
      </c>
      <c r="C46" s="2" t="s">
        <v>164</v>
      </c>
    </row>
    <row r="47" customHeight="1" spans="1:3">
      <c r="A47" s="26">
        <v>601.92</v>
      </c>
      <c r="B47" s="2" t="s">
        <v>25</v>
      </c>
      <c r="C47" s="2" t="s">
        <v>112</v>
      </c>
    </row>
    <row r="48" hidden="1" customHeight="1" spans="1:3">
      <c r="A48" s="26">
        <v>1275</v>
      </c>
      <c r="B48" s="2" t="s">
        <v>14</v>
      </c>
      <c r="C48" s="2" t="s">
        <v>159</v>
      </c>
    </row>
    <row r="49" customHeight="1" spans="1:3">
      <c r="A49" s="26">
        <v>200</v>
      </c>
      <c r="B49" s="2" t="s">
        <v>14</v>
      </c>
      <c r="C49" s="2" t="s">
        <v>165</v>
      </c>
    </row>
    <row r="50" customHeight="1" spans="1:3">
      <c r="A50" s="26">
        <v>678</v>
      </c>
      <c r="B50" s="2" t="s">
        <v>25</v>
      </c>
      <c r="C50" s="2" t="s">
        <v>166</v>
      </c>
    </row>
    <row r="51" customHeight="1" spans="1:3">
      <c r="A51" s="26">
        <v>6795</v>
      </c>
      <c r="B51" s="2" t="s">
        <v>25</v>
      </c>
      <c r="C51" s="2" t="s">
        <v>167</v>
      </c>
    </row>
    <row r="52" customHeight="1" spans="1:3">
      <c r="A52" s="26">
        <v>50</v>
      </c>
      <c r="B52" s="2" t="s">
        <v>14</v>
      </c>
      <c r="C52" s="2" t="s">
        <v>144</v>
      </c>
    </row>
    <row r="53" customHeight="1" spans="1:3">
      <c r="A53" s="26">
        <v>500</v>
      </c>
      <c r="B53" s="2" t="s">
        <v>25</v>
      </c>
      <c r="C53" s="2" t="s">
        <v>168</v>
      </c>
    </row>
    <row r="54" customHeight="1" spans="1:3">
      <c r="A54" s="26">
        <v>300</v>
      </c>
      <c r="B54" s="2" t="s">
        <v>32</v>
      </c>
      <c r="C54" s="2" t="s">
        <v>169</v>
      </c>
    </row>
    <row r="55" customHeight="1" spans="1:3">
      <c r="A55" s="26">
        <v>860</v>
      </c>
      <c r="B55" s="2" t="s">
        <v>25</v>
      </c>
      <c r="C55" s="2" t="s">
        <v>170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51 B52 B53 B54 B55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开店成本清单</vt:lpstr>
      <vt:lpstr>2026-02流水</vt:lpstr>
      <vt:lpstr>2026-03流水</vt:lpstr>
      <vt:lpstr>2026-04流水</vt:lpstr>
      <vt:lpstr>2026-05流水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2026-03-02T03:28:00Z</dcterms:created>
  <dcterms:modified xsi:type="dcterms:W3CDTF">2026-05-06T16:13:06Z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