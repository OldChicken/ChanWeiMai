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<sst xmlns="http://schemas.openxmlformats.org/spreadsheetml/2006/main" count="118" uniqueCount="55">
  <si>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</si>
  <si>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</si>
  <si>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</si>
  <si>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</si>
  <si>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</si>
  <si>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</si>
  <si>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</si>
  <si>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</si>
  <si>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</si>
  <si>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</si>
  <si>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</si>
  <si>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</si>
  <si>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</si>
  <si>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</si>
  <si>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</si>
  <si>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</si>
  <si>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</si>
  <si>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</si>
  <si>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</si>
  <si>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</si>
  <si>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</si>
  <si>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</si>
  <si>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</si>
  <si>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</si>
  <si>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</si>
  <si>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</si>
  <si>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</si>
  <si>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</si>
  <si>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</si>
  <si>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</si>
  <si>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</si>
  <si>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</si>
  <si>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</si>
  <si>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</si>
  <si>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</si>
  <si>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</si>
  <si>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</si>
  <si>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</si>
  <si>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其他杂项：床+宽带</t>
  </si>
  <si>
    <t>自购食材(非快驴、老家进货)</t>
  </si>
  <si>
    <t>火鸡面补货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</si>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</sst>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7" formatCode="0.00_);[Red]\(0.00\)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FFF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7" fillId="1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20" fillId="29" borderId="7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1" fillId="32" borderId="8" applyNumberFormat="0" applyAlignment="0" applyProtection="0">
      <alignment vertical="center"/>
    </xf>
    <xf numFmtId="0" fontId="18" fillId="22" borderId="6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</cellStyleXfs>
  <cellXfs count="18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7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9" totalsRowShown="0">
  <autoFilter ref="A5:C39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1:C25" totalsRowShown="0">
  <autoFilter ref="A21:C2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6" totalsRowShown="0">
  <autoFilter ref="A1:C16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abSelected="1" workbookViewId="0">
      <selection activeCell="A35" sqref="A35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3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96153.69</v>
      </c>
    </row>
    <row r="3" ht="15" customHeight="1" spans="1:3">
      <c r="A3" s="7" t="s">
        <v>2</v>
      </c>
      <c r="C3" s="12">
        <f>C1-C2</f>
        <v>3846.30999999998</v>
      </c>
    </row>
    <row r="4" ht="15" customHeight="1"/>
    <row r="5" ht="15" customHeight="1" spans="1:3">
      <c r="A5" s="7" t="s">
        <v>3</v>
      </c>
      <c r="B5" s="8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3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3" t="s">
        <v>30</v>
      </c>
    </row>
    <row r="26" ht="15" customHeight="1" spans="1:3">
      <c r="A26" s="1">
        <v>640</v>
      </c>
      <c r="B26" t="s">
        <v>9</v>
      </c>
      <c r="C26" s="13" t="s">
        <v>31</v>
      </c>
    </row>
    <row r="27" ht="15" customHeight="1" spans="1:3">
      <c r="A27" s="1">
        <v>500</v>
      </c>
      <c r="B27" t="s">
        <v>32</v>
      </c>
      <c r="C27" s="13" t="s">
        <v>33</v>
      </c>
    </row>
    <row r="28" ht="15" customHeight="1" spans="1:3">
      <c r="A28" s="1">
        <v>600</v>
      </c>
      <c r="B28" t="s">
        <v>32</v>
      </c>
      <c r="C28" s="13" t="s">
        <v>34</v>
      </c>
    </row>
    <row r="29" ht="15" customHeight="1" spans="1:3">
      <c r="A29" s="1">
        <v>938</v>
      </c>
      <c r="B29" t="s">
        <v>25</v>
      </c>
      <c r="C29" s="13" t="s">
        <v>35</v>
      </c>
    </row>
    <row r="30" ht="15" customHeight="1" spans="1:3">
      <c r="A30" s="1">
        <v>1000</v>
      </c>
      <c r="B30" t="s">
        <v>25</v>
      </c>
      <c r="C30" s="13" t="s">
        <v>26</v>
      </c>
    </row>
    <row r="31" ht="15" customHeight="1" spans="1:3">
      <c r="A31" s="1">
        <v>160.41</v>
      </c>
      <c r="B31" t="s">
        <v>25</v>
      </c>
      <c r="C31" s="13" t="s">
        <v>35</v>
      </c>
    </row>
    <row r="32" ht="15" customHeight="1" spans="1:3">
      <c r="A32" s="1">
        <v>162.41</v>
      </c>
      <c r="B32" t="s">
        <v>36</v>
      </c>
      <c r="C32" s="13" t="s">
        <v>37</v>
      </c>
    </row>
    <row r="33" ht="15" customHeight="1" spans="1:3">
      <c r="A33" s="1">
        <v>42.16</v>
      </c>
      <c r="B33" t="s">
        <v>25</v>
      </c>
      <c r="C33" s="13" t="s">
        <v>35</v>
      </c>
    </row>
    <row r="34" ht="15" customHeight="1" spans="1:3">
      <c r="A34" s="1">
        <v>1000</v>
      </c>
      <c r="B34" t="s">
        <v>25</v>
      </c>
      <c r="C34" s="13" t="s">
        <v>26</v>
      </c>
    </row>
    <row r="35" ht="15" customHeight="1" spans="1:3">
      <c r="A35" s="3">
        <v>500</v>
      </c>
      <c r="B35" s="14" t="s">
        <v>9</v>
      </c>
      <c r="C35" s="15" t="s">
        <v>38</v>
      </c>
    </row>
    <row r="36" ht="15" customHeight="1" spans="1:3">
      <c r="A36" s="3">
        <v>1300</v>
      </c>
      <c r="B36" s="14" t="s">
        <v>25</v>
      </c>
      <c r="C36" s="15" t="s">
        <v>39</v>
      </c>
    </row>
    <row r="37" ht="15" customHeight="1" spans="1:3">
      <c r="A37" s="3">
        <v>253.84</v>
      </c>
      <c r="B37" s="14" t="s">
        <v>25</v>
      </c>
      <c r="C37" s="15" t="s">
        <v>40</v>
      </c>
    </row>
    <row r="38" ht="15" customHeight="1" spans="1:3">
      <c r="A38" s="3">
        <v>1000</v>
      </c>
      <c r="B38" s="14" t="s">
        <v>25</v>
      </c>
      <c r="C38" s="15" t="s">
        <v>26</v>
      </c>
    </row>
    <row r="39" ht="15" customHeight="1" spans="1:3">
      <c r="A39" s="5">
        <v>355.3</v>
      </c>
      <c r="B39" s="16" t="s">
        <v>25</v>
      </c>
      <c r="C39" s="17" t="s">
        <v>40</v>
      </c>
    </row>
    <row r="40" ht="15" customHeight="1"/>
    <row r="41" ht="15" customHeight="1"/>
    <row r="42" ht="15" customHeight="1"/>
    <row r="43" ht="15" customHeight="1"/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6:B39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1"/>
  <sheetViews>
    <sheetView workbookViewId="0">
      <selection activeCell="A17" sqref="A1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41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42</v>
      </c>
    </row>
    <row r="3" customHeight="1" spans="1:3">
      <c r="A3" s="1">
        <v>12000</v>
      </c>
      <c r="B3" s="2" t="s">
        <v>43</v>
      </c>
      <c r="C3" s="2" t="s">
        <v>44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160.41</v>
      </c>
      <c r="B9" s="2" t="s">
        <v>25</v>
      </c>
      <c r="C9" s="2" t="s">
        <v>35</v>
      </c>
    </row>
    <row r="10" customHeight="1" spans="1:3">
      <c r="A10" s="1">
        <v>162.41</v>
      </c>
      <c r="B10" s="2" t="s">
        <v>36</v>
      </c>
      <c r="C10" s="2" t="s">
        <v>37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45</v>
      </c>
    </row>
    <row r="14" customHeight="1" spans="1:3">
      <c r="A14" s="3">
        <v>253.84</v>
      </c>
      <c r="B14" s="4" t="s">
        <v>25</v>
      </c>
      <c r="C14" s="4" t="s">
        <v>40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5">
        <v>355.3</v>
      </c>
      <c r="B16" s="6" t="s">
        <v>25</v>
      </c>
      <c r="C16" s="6" t="s">
        <v>40</v>
      </c>
    </row>
    <row r="17" customHeight="1" spans="1:3">
      <c r="A17" s="7"/>
      <c r="B17" s="8"/>
      <c r="C17" s="2"/>
    </row>
    <row r="18" customHeight="1" spans="1:3">
      <c r="A18" s="7"/>
      <c r="B18" s="8"/>
      <c r="C18" s="2"/>
    </row>
    <row r="19" customHeight="1" spans="1:3">
      <c r="A19" s="7"/>
      <c r="B19" s="8"/>
      <c r="C19" s="2"/>
    </row>
    <row r="20" customHeight="1" spans="1:3">
      <c r="A20" s="7"/>
      <c r="B20" s="8"/>
      <c r="C20" s="2"/>
    </row>
    <row r="21" customHeight="1" spans="1:3">
      <c r="A21" s="7" t="s">
        <v>46</v>
      </c>
      <c r="B21" s="8" t="s">
        <v>4</v>
      </c>
      <c r="C21" s="2" t="s">
        <v>5</v>
      </c>
    </row>
    <row r="22" customHeight="1" spans="1:3">
      <c r="A22" s="9">
        <v>4233.01</v>
      </c>
      <c r="B22" s="8" t="s">
        <v>47</v>
      </c>
      <c r="C22" s="2"/>
    </row>
    <row r="23" customHeight="1" spans="1:3">
      <c r="A23" s="9">
        <v>0</v>
      </c>
      <c r="B23" s="8" t="s">
        <v>48</v>
      </c>
      <c r="C23" s="2"/>
    </row>
    <row r="24" customHeight="1" spans="1:3">
      <c r="A24" s="9">
        <v>4623.5</v>
      </c>
      <c r="B24" s="8" t="s">
        <v>49</v>
      </c>
      <c r="C24" s="2"/>
    </row>
    <row r="25" customHeight="1" spans="1:3">
      <c r="A25" s="9">
        <v>2547.16</v>
      </c>
      <c r="B25" s="8" t="s">
        <v>50</v>
      </c>
      <c r="C25" s="2"/>
    </row>
    <row r="28" customHeight="1" spans="1:3">
      <c r="A28" s="7" t="s">
        <v>51</v>
      </c>
      <c r="B28" s="10">
        <f>SUM(成本明细表[成本明细])</f>
        <v>37405.12</v>
      </c>
      <c r="C28" s="11"/>
    </row>
    <row r="29" customHeight="1" spans="1:3">
      <c r="A29" s="7" t="s">
        <v>52</v>
      </c>
      <c r="B29" s="10">
        <f>SUM(营业额明细表[营业额明细])</f>
        <v>11403.67</v>
      </c>
      <c r="C29" s="12"/>
    </row>
    <row r="30" customHeight="1" spans="1:3">
      <c r="A30" s="7" t="s">
        <v>53</v>
      </c>
      <c r="C30" s="12"/>
    </row>
    <row r="31" customHeight="1" spans="1:1">
      <c r="A31" t="s">
        <v>54</v>
      </c>
    </row>
  </sheetData>
  <dataValidations count="2">
    <dataValidation type="list" allowBlank="1" showInputMessage="1" showErrorMessage="1" sqref="B2:B15">
      <formula1>"房租,其他,食材,推广,水电,工资"</formula1>
    </dataValidation>
    <dataValidation type="list" allowBlank="1" showInputMessage="1" showErrorMessage="1" sqref="B16">
      <formula1>"房租,装修,其他,设备,食材,推广,水电"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2026-01-31T19:28:00Z</dcterms:created>
  <dcterms:modified xsi:type="dcterms:W3CDTF">2026-02-22T12:24:21Z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