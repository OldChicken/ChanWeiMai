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tabRatio="723" firstSheet="1" activeTab="7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<sst xmlns="http://schemas.openxmlformats.org/spreadsheetml/2006/main" count="983" uniqueCount="217">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</sst>
</file>

<file path=xl/styles.xml><?xml version="1.0" encoding="utf-8"?>
<styleSheet xmlns="http://schemas.openxmlformats.org/spreadsheetml/2006/main">
  <numFmts count="7">
    <numFmt numFmtId="176" formatCode="#,##0.00_ "/>
    <numFmt numFmtId="42" formatCode="_ &quot;￥&quot;* #,##0_ ;_ &quot;￥&quot;* \-#,##0_ ;_ &quot;￥&quot;* &quot;-&quot;_ ;_ @_ "/>
    <numFmt numFmtId="177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178" formatCode="0.00_);[Red]\(0.00\)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8" fillId="42" borderId="0" applyNumberFormat="0" applyBorder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19" fillId="33" borderId="9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17" fillId="24" borderId="9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3" fillId="20" borderId="7" applyNumberFormat="0" applyAlignment="0" applyProtection="0">
      <alignment vertical="center"/>
    </xf>
    <xf numFmtId="0" fontId="23" fillId="24" borderId="13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0" fillId="34" borderId="11" applyNumberFormat="0" applyFon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5" fillId="0" borderId="8" applyNumberFormat="0" applyFill="0" applyAlignment="0" applyProtection="0">
      <alignment vertical="center"/>
    </xf>
  </cellStyleXfs>
  <cellXfs count="82">
    <xf numFmtId="0" fontId="0" fillId="0" borderId="0" xfId="0"/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7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8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zoomScale="80" zoomScaleNormal="80" topLeftCell="A6" workbookViewId="0">
      <selection activeCell="A31" sqref="A3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32428.22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32589.93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15690.35</v>
      </c>
      <c r="C5" s="15" t="s">
        <v>49</v>
      </c>
    </row>
    <row r="6" customHeight="1" spans="1:3">
      <c r="A6" s="13" t="s">
        <v>52</v>
      </c>
      <c r="B6" s="14">
        <f>$B$3-$B$4</f>
        <v>-161.710000000003</v>
      </c>
      <c r="C6" s="15" t="s">
        <v>49</v>
      </c>
    </row>
    <row r="7" customHeight="1" spans="1:3">
      <c r="A7" s="13" t="s">
        <v>53</v>
      </c>
      <c r="B7" s="16">
        <f>$B$5/$B$3</f>
        <v>0.483848635540279</v>
      </c>
      <c r="C7" s="15" t="s">
        <v>54</v>
      </c>
    </row>
    <row r="8" customHeight="1" spans="1:3">
      <c r="A8" s="13" t="s">
        <v>55</v>
      </c>
      <c r="B8" s="16">
        <f>$B$6/$B$3</f>
        <v>-0.00498670602333408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13210.51</v>
      </c>
      <c r="C13" s="16">
        <f>$B$13/$B$3</f>
        <v>0.407376969812096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12995.5</v>
      </c>
      <c r="C14" s="16">
        <f>$B$14/$B$3</f>
        <v>0.400746633641933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34.62</v>
      </c>
      <c r="C15" s="16">
        <f>$B$15/$B$3</f>
        <v>0.00106758866197405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2908</v>
      </c>
      <c r="C16" s="16">
        <f>$B$16/$B$3</f>
        <v>0.0896749806187327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1333.65</v>
      </c>
      <c r="C17" s="16">
        <f>$B$17/$B$3</f>
        <v>0.0411262166101007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1945.94</v>
      </c>
      <c r="C18" s="16">
        <f>$B$18/$B$3</f>
        <v>0.0600076106551639</v>
      </c>
    </row>
    <row r="19" customHeight="1" spans="1:3">
      <c r="A19" s="20" t="s">
        <v>65</v>
      </c>
      <c r="B19" s="21">
        <f>SUM(B13:B18)</f>
        <v>32428.22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0.51359024091184</v>
      </c>
    </row>
    <row r="25" customHeight="1" spans="1:3">
      <c r="A25" s="13" t="s">
        <v>68</v>
      </c>
      <c r="B25" s="14">
        <f>SUMIF(支出明细26049_111914[分类],"工资",支出明细26049_111914[支出明细])</f>
        <v>8500</v>
      </c>
      <c r="C25" s="16">
        <f>$B$25/$B$4</f>
        <v>0.260816761496573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0.132955179713488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0.000584843232249962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0.0920529746458492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32589.93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2723</v>
      </c>
      <c r="B34" s="32" t="s">
        <v>62</v>
      </c>
      <c r="C34" s="33" t="s">
        <v>136</v>
      </c>
    </row>
    <row r="35" customHeight="1" spans="1:3">
      <c r="A35" s="34">
        <v>185</v>
      </c>
      <c r="B35" s="32" t="s">
        <v>62</v>
      </c>
      <c r="C35" s="33" t="s">
        <v>137</v>
      </c>
    </row>
    <row r="36" customHeight="1" spans="1:3">
      <c r="A36" s="34">
        <v>1333.65</v>
      </c>
      <c r="B36" s="32" t="s">
        <v>63</v>
      </c>
      <c r="C36" s="33"/>
    </row>
    <row r="37" customHeight="1" spans="1:3">
      <c r="A37" s="34">
        <v>1945.94</v>
      </c>
      <c r="B37" s="32" t="s">
        <v>64</v>
      </c>
      <c r="C37" s="33"/>
    </row>
    <row r="38" customHeight="1" spans="1:3">
      <c r="A38" s="34">
        <v>13210.51</v>
      </c>
      <c r="B38" s="32" t="s">
        <v>60</v>
      </c>
      <c r="C38" s="33"/>
    </row>
    <row r="39" customHeight="1" spans="1:3">
      <c r="A39" s="34">
        <v>12995.5</v>
      </c>
      <c r="B39" s="32" t="s">
        <v>61</v>
      </c>
      <c r="C39" s="33"/>
    </row>
    <row r="40" customHeight="1" spans="1:3">
      <c r="A40" s="1">
        <v>34.62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9"/>
  <sheetViews>
    <sheetView workbookViewId="0">
      <selection activeCell="A35" sqref="A3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17503.7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-1670.7</v>
      </c>
      <c r="C5" s="15" t="s">
        <v>49</v>
      </c>
    </row>
    <row r="6" customHeight="1" spans="1:3">
      <c r="A6" s="13" t="s">
        <v>52</v>
      </c>
      <c r="B6" s="14">
        <f>$B$3-$B$4</f>
        <v>-17503.7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1670.7</v>
      </c>
      <c r="C24" s="16">
        <f>$B$24/$B$4</f>
        <v>0.0954483909116358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0.485611613544565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0.2475476613516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3000</v>
      </c>
      <c r="C28" s="16">
        <f>$B$28/$B$4</f>
        <v>0.171392334192199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17503.7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4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2026-03-07T19:28:00Z</dcterms:created>
  <dcterms:modified xsi:type="dcterms:W3CDTF">2026-08-31T09:53:56Z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