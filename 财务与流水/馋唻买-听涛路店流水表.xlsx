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900" tabRatio="723" firstSheet="1" activeTab="6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</sheets>
  <calcPr calcId="144525"/>
</workbook>
</file>

<file path=xl/sharedStrings.xml><?xml version="1.0" encoding="utf-8"?>
<sst xmlns="http://schemas.openxmlformats.org/spreadsheetml/2006/main" count="828" uniqueCount="202">
  <si>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</si>
  <si>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</si>
  <si>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</si>
  <si>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</si>
  <si>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</si>
  <si>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</si>
  <si>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</si>
  <si>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</si>
  <si>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</si>
  <si>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</si>
  <si>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</si>
  <si>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</si>
  <si>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</si>
  <si>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</si>
  <si>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</si>
  <si>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</si>
  <si>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</si>
  <si>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</si>
  <si>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</si>
  <si>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</si>
  <si>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</si>
  <si>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</si>
  <si>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</si>
  <si>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</si>
  <si>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</si>
  <si>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</si>
  <si>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</si>
  <si>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</si>
  <si>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</si>
  <si>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</si>
  <si>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</si>
  <si>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</si>
  <si>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</si>
  <si>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</si>
  <si>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</si>
  <si>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</si>
  <si>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</si>
  <si>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</si>
  <si>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</si>
  <si>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</si>
  <si>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</si>
  <si>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</si>
  <si>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</si>
  <si>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</si>
  <si>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</si>
  <si>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</si>
  <si>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</si>
  <si>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</si>
  <si>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</si>
  <si>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</si>
  <si>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</si>
  <si>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</si>
  <si>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</si>
  <si>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</si>
  <si>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</si>
  <si>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</si>
  <si>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</si>
  <si>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</si>
  <si>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</si>
  <si>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</si>
  <si>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</si>
  <si>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</si>
  <si>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</si>
  <si>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</si>
  <si>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</si>
  <si>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</si>
  <si>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</si>
  <si>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</si>
  <si>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</si>
  <si>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</si>
  <si>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</si>
  <si>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</si>
  <si>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</si>
  <si>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</si>
  <si>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</si>
  <si>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</si>
  <si>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</si>
  <si>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</si>
  <si>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</si>
  <si>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</si>
  <si>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</si>
  <si>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</si>
  <si>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</si>
  <si>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</si>
  <si>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</si>
  <si>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</si>
  <si>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</si>
  <si>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</si>
  <si>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</si>
  <si>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</si>
  <si>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</si>
  <si>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</si>
  <si>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</si>
  <si>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</si>
  <si>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</si>
  <si>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</si>
  <si>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</si>
  <si>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</si>
  <si>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</si>
  <si>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</si>
  <si>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</si>
  <si>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</si>
  <si>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</si>
  <si>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</si>
  <si>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</si>
  <si>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</si>
  <si>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</si>
  <si>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</si>
  <si>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</si>
  <si>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</si>
  <si>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</si>
  <si>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</si>
  <si>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</si>
  <si>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</si>
  <si>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</si>
  <si>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</si>
  <si>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</si>
  <si>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</si>
  <si>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</si>
  <si>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</si>
  <si>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</si>
  <si>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</si>
  <si>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</si>
  <si>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</si>
  <si>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</si>
  <si>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</si>
  <si>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</si>
  <si>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</si>
  <si>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</si>
  <si>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</si>
  <si>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</si>
  <si>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</si>
  <si>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</si>
  <si>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</si>
  <si>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</si>
  <si>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</si>
  <si>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</si>
  <si>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</si>
  <si>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</si>
  <si>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</si>
  <si>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</si>
  <si>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</si>
  <si>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</si>
  <si>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</si>
  <si>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</si>
  <si>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</si>
  <si>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</si>
  <si>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</si>
  <si>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</si>
  <si>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</si>
  <si>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</si>
  <si>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</si>
  <si>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</si>
  <si>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</si>
  <si>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</si>
  <si>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</si>
  <si>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</si>
  <si>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</si>
  <si>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</si>
  <si>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</si>
  <si>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</si>
  <si>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</si>
  <si>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</si>
  <si>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</si>
  <si>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</si>
  <si>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</si>
  <si>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</si>
  <si>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</si>
  <si>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</si>
  <si>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</si>
  <si>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</si>
  <si>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</si>
  <si>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</si>
  <si>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</si>
  <si>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</si>
  <si>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</si>
  <si>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</si>
  <si>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</si>
  <si>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</si>
  <si>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</si>
  <si>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</si>
  <si>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</si>
  <si>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</si>
  <si>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</si>
  <si>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</si>
  <si>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</si>
  <si>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</si>
  <si>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</si>
  <si>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</si>
  <si>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</si>
  <si>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</si>
  <si>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</si>
  <si>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</si>
  <si>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</si>
  <si>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</si>
  <si>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</si>
  <si>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</si>
  <si>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包含老池给的666红包</t>
  </si>
  <si>
    <t>肉片第一次进货</t>
  </si>
  <si>
    <t>潮汕牛肉丸10包</t>
  </si>
  <si>
    <t>烧麦4袋</t>
  </si>
  <si>
    <t>表哥借款</t>
  </si>
</sst>
</file>

<file path=xl/styles.xml><?xml version="1.0" encoding="utf-8"?>
<styleSheet xmlns="http://schemas.openxmlformats.org/spreadsheetml/2006/main">
  <numFmts count="7">
    <numFmt numFmtId="43" formatCode="_ * #,##0.00_ ;_ * \-#,##0.00_ ;_ * &quot;-&quot;??_ ;_ @_ "/>
    <numFmt numFmtId="176" formatCode="#,##0.00_ "/>
    <numFmt numFmtId="177" formatCode="0.00_);[Red]\(0.00\)"/>
    <numFmt numFmtId="41" formatCode="_ * #,##0_ ;_ * \-#,##0_ ;_ * &quot;-&quot;_ ;_ @_ "/>
    <numFmt numFmtId="44" formatCode="_ &quot;￥&quot;* #,##0.00_ ;_ &quot;￥&quot;* \-#,##0.00_ ;_ &quot;￥&quot;* &quot;-&quot;??_ ;_ @_ "/>
    <numFmt numFmtId="178" formatCode="0.00_ ;[Red]\-0.00\ "/>
    <numFmt numFmtId="42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5"/>
      <color theme="3"/>
      <name val="宋体"/>
      <charset val="134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/>
    <xf numFmtId="0" fontId="8" fillId="38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23" fillId="40" borderId="7" applyNumberFormat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4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0" fillId="16" borderId="7" applyNumberForma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5" fillId="21" borderId="11" applyNumberFormat="0" applyAlignment="0" applyProtection="0">
      <alignment vertical="center"/>
    </xf>
    <xf numFmtId="0" fontId="14" fillId="16" borderId="10" applyNumberFormat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0" fillId="19" borderId="9" applyNumberFormat="0" applyFont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82">
    <xf numFmtId="0" fontId="0" fillId="0" borderId="0" xfId="0"/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8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7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7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1">
  <autoFilter ref="A43:C61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48">
  <autoFilter ref="A43:C48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77" customWidth="1"/>
    <col min="2" max="2" width="30.6634615384615" style="78" customWidth="1"/>
    <col min="3" max="3" width="30.6634615384615" style="79" customWidth="1"/>
    <col min="4" max="4" width="30.6634615384615" style="78" customWidth="1"/>
    <col min="5" max="16384" width="30.663461538461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47" customWidth="1"/>
    <col min="3" max="3" width="30.6634615384615" style="48" customWidth="1"/>
    <col min="4" max="4" width="30.6634615384615" style="47" customWidth="1"/>
    <col min="5" max="16384" width="30.663461538461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D15" sqref="D15"/>
    </sheetView>
  </sheetViews>
  <sheetFormatPr defaultColWidth="30.6634615384615" defaultRowHeight="25.05" customHeight="1" outlineLevelCol="2"/>
  <cols>
    <col min="1" max="1" width="30.6634615384615" style="38" customWidth="1"/>
    <col min="2" max="2" width="30.6634615384615" style="2" customWidth="1"/>
    <col min="3" max="16384" width="30.663461538461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9" sqref="B19"/>
    </sheetView>
  </sheetViews>
  <sheetFormatPr defaultColWidth="30.6634615384615" defaultRowHeight="25.05" customHeight="1" outlineLevelCol="2"/>
  <cols>
    <col min="1" max="1" width="30.6634615384615" style="38" customWidth="1"/>
    <col min="2" max="2" width="30.6634615384615" style="2" customWidth="1"/>
    <col min="3" max="16384" width="30.663461538461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12" workbookViewId="0">
      <selection activeCell="A55" sqref="A5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tabSelected="1" topLeftCell="A29" workbookViewId="0">
      <selection activeCell="A20" sqref="A20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24131.29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40127.17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4337.12</v>
      </c>
      <c r="C5" s="15" t="s">
        <v>49</v>
      </c>
    </row>
    <row r="6" customHeight="1" spans="1:3">
      <c r="A6" s="13" t="s">
        <v>52</v>
      </c>
      <c r="B6" s="14">
        <f>$B$3-$B$4</f>
        <v>-15995.88</v>
      </c>
      <c r="C6" s="15" t="s">
        <v>49</v>
      </c>
    </row>
    <row r="7" customHeight="1" spans="1:3">
      <c r="A7" s="13" t="s">
        <v>53</v>
      </c>
      <c r="B7" s="16">
        <f>$B$5/$B$3</f>
        <v>0.179730134609463</v>
      </c>
      <c r="C7" s="15" t="s">
        <v>54</v>
      </c>
    </row>
    <row r="8" customHeight="1" spans="1:3">
      <c r="A8" s="13" t="s">
        <v>55</v>
      </c>
      <c r="B8" s="16">
        <f>$B$6/$B$3</f>
        <v>-0.662868831297457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9070.75</v>
      </c>
      <c r="C13" s="16">
        <f>$B$13/$B$3</f>
        <v>0.375891632813662</v>
      </c>
    </row>
    <row r="14" customHeight="1" spans="1:3">
      <c r="A14" s="13" t="s">
        <v>61</v>
      </c>
      <c r="B14" s="14">
        <f>SUMIF(收入明细260410_1220[分类],"美团外卖",收入明细260410_1220[收入明细])</f>
        <v>8651.72</v>
      </c>
      <c r="C14" s="16">
        <f>$B$14/$B$3</f>
        <v>0.358527041032618</v>
      </c>
    </row>
    <row r="15" customHeight="1" spans="1:3">
      <c r="A15" s="13" t="s">
        <v>135</v>
      </c>
      <c r="B15" s="14">
        <f>SUMIF(收入明细260410_1220[分类],"抖音来客",收入明细260410_1220[收入明细])</f>
        <v>29.9</v>
      </c>
      <c r="C15" s="16">
        <f>$B$15/$B$3</f>
        <v>0.00123905518519731</v>
      </c>
    </row>
    <row r="16" customHeight="1" spans="1:3">
      <c r="A16" s="13" t="s">
        <v>62</v>
      </c>
      <c r="B16" s="14">
        <f>SUMIF(收入明细260410_1220[分类],"微信堂食",收入明细260410_1220[收入明细])</f>
        <v>2523.81</v>
      </c>
      <c r="C16" s="16">
        <f>$B$16/$B$3</f>
        <v>0.10458661762384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1685.52</v>
      </c>
      <c r="C17" s="16">
        <f>$B$17/$B$3</f>
        <v>0.0698479028680191</v>
      </c>
    </row>
    <row r="18" customHeight="1" spans="1:3">
      <c r="A18" s="13" t="s">
        <v>64</v>
      </c>
      <c r="B18" s="14">
        <f>SUMIF(收入明细260410_1220[分类],"京东外卖",收入明细260410_1220[收入明细])</f>
        <v>2169.59</v>
      </c>
      <c r="C18" s="16">
        <f>$B$18/$B$3</f>
        <v>0.0899077504766633</v>
      </c>
    </row>
    <row r="19" customHeight="1" spans="1:3">
      <c r="A19" s="20" t="s">
        <v>65</v>
      </c>
      <c r="B19" s="21">
        <f>SUM(B13:B18)</f>
        <v>24131.29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19794.17</v>
      </c>
      <c r="C24" s="16">
        <f>$B$24/$B$4</f>
        <v>0.49328597057804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0.299049247679316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0.107981699182873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3000</v>
      </c>
      <c r="C28" s="16">
        <f>$B$28/$B$4</f>
        <v>0.0747623119198289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0.024920770639943</v>
      </c>
    </row>
    <row r="30" customHeight="1" spans="1:3">
      <c r="A30" s="29" t="s">
        <v>65</v>
      </c>
      <c r="B30" s="30">
        <f>SUM(B24:B29)</f>
        <v>40127.17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2282.93</v>
      </c>
      <c r="B34" s="32" t="s">
        <v>62</v>
      </c>
      <c r="C34" s="33" t="s">
        <v>136</v>
      </c>
    </row>
    <row r="35" customHeight="1" spans="1:3">
      <c r="A35" s="34">
        <v>240.88</v>
      </c>
      <c r="B35" s="32" t="s">
        <v>62</v>
      </c>
      <c r="C35" s="33" t="s">
        <v>137</v>
      </c>
    </row>
    <row r="36" customHeight="1" spans="1:3">
      <c r="A36" s="34">
        <v>1685.52</v>
      </c>
      <c r="B36" s="32" t="s">
        <v>63</v>
      </c>
      <c r="C36" s="33" t="s">
        <v>197</v>
      </c>
    </row>
    <row r="37" customHeight="1" spans="1:3">
      <c r="A37" s="34">
        <v>2169.59</v>
      </c>
      <c r="B37" s="32" t="s">
        <v>64</v>
      </c>
      <c r="C37" s="33"/>
    </row>
    <row r="38" customHeight="1" spans="1:3">
      <c r="A38" s="34">
        <v>9070.75</v>
      </c>
      <c r="B38" s="32" t="s">
        <v>60</v>
      </c>
      <c r="C38" s="33"/>
    </row>
    <row r="39" customHeight="1" spans="1:3">
      <c r="A39" s="34">
        <v>8651.72</v>
      </c>
      <c r="B39" s="32" t="s">
        <v>61</v>
      </c>
      <c r="C39" s="33"/>
    </row>
    <row r="40" customHeight="1" spans="1:3">
      <c r="A40" s="1">
        <v>29.9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160</v>
      </c>
    </row>
    <row r="46" hidden="1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198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199</v>
      </c>
    </row>
    <row r="53" customHeight="1" spans="1:3">
      <c r="A53" s="1">
        <v>81.7</v>
      </c>
      <c r="B53" s="2" t="s">
        <v>25</v>
      </c>
      <c r="C53" s="2" t="s">
        <v>200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hidden="1" customHeight="1" spans="1:3">
      <c r="A57" s="1">
        <v>500</v>
      </c>
      <c r="B57" s="2" t="s">
        <v>14</v>
      </c>
      <c r="C57" s="2" t="s">
        <v>201</v>
      </c>
    </row>
    <row r="58" hidden="1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topLeftCell="A29" workbookViewId="0">
      <selection activeCell="D35" sqref="D3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26305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-6972</v>
      </c>
      <c r="C5" s="15" t="s">
        <v>49</v>
      </c>
    </row>
    <row r="6" customHeight="1" spans="1:3">
      <c r="A6" s="13" t="s">
        <v>52</v>
      </c>
      <c r="B6" s="14">
        <f>$B$3-$B$4</f>
        <v>-26305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6972</v>
      </c>
      <c r="C24" s="16">
        <f>$B$24/$B$4</f>
        <v>0.265044668314009</v>
      </c>
    </row>
    <row r="25" customHeight="1" spans="1:3">
      <c r="A25" s="13" t="s">
        <v>68</v>
      </c>
      <c r="B25" s="14">
        <f>SUMIF(支出明细26049_111914[分类],"工资",支出明细26049_111914[支出明细])</f>
        <v>12000</v>
      </c>
      <c r="C25" s="16">
        <f>$B$25/$B$4</f>
        <v>0.456187036685041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0.16472153582969</v>
      </c>
    </row>
    <row r="27" customHeight="1" spans="1:3">
      <c r="A27" s="13" t="s">
        <v>32</v>
      </c>
      <c r="B27" s="14">
        <f>SUMIF(支出明细26049_111914[分类],"推广",支出明细26049_111914[支出明细])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0.11404675917126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26305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198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2026-03-06T11:28:00Z</dcterms:created>
  <dcterms:modified xsi:type="dcterms:W3CDTF">2026-07-20T15:40:06Z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