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80" tabRatio="723" firstSheet="1" activeTab="4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</sheets>
  <calcPr calcId="144525"/>
</workbook>
</file>

<file path=xl/sharedStrings.xml><?xml version="1.0" encoding="utf-8"?>
<sst xmlns="http://schemas.openxmlformats.org/spreadsheetml/2006/main" count="782" uniqueCount="177">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</sst>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177" formatCode="#,##0.00_ "/>
    <numFmt numFmtId="178" formatCode="0.00_ ;[Red]\-0.00\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8" fillId="3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20" fillId="34" borderId="11" applyNumberFormat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42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9" fillId="20" borderId="11" applyNumberForma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5" fillId="24" borderId="10" applyNumberFormat="0" applyAlignment="0" applyProtection="0">
      <alignment vertical="center"/>
    </xf>
    <xf numFmtId="0" fontId="10" fillId="20" borderId="7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1:C44">
  <autoFilter ref="A41:C44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支出明细26049_1113" displayName="支出明细26049_1113" ref="A41:C44">
  <autoFilter ref="A41:C44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收入明细260410_1214" displayName="收入明细260410_121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4" name="支出明细26049_111315" displayName="支出明细26049_111315" ref="A41:C44">
  <autoFilter ref="A41:C44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5" name="收入明细260410_121416" displayName="收入明细260410_121416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支出明细26049_11131517" displayName="支出明细26049_11131517" ref="A41:C44">
  <autoFilter ref="A41:C44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7" name="收入明细260410_12141618" displayName="收入明细260410_12141618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5" sqref="B1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49908.93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538.550000000003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0.0106754589129131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0.557612635654581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0.240437933652354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0.086818130542971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3355</v>
      </c>
      <c r="C28" s="12">
        <f>$B$28/$B$4</f>
        <v>0.0672224389503041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0.0479088611997893</v>
      </c>
    </row>
    <row r="30" customHeight="1" spans="1:3">
      <c r="A30" s="23" t="s">
        <v>65</v>
      </c>
      <c r="B30" s="24">
        <f>SUM(B24:B29)</f>
        <v>49908.93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68</v>
      </c>
    </row>
    <row r="46" customHeight="1" spans="1:3">
      <c r="A46" s="26">
        <v>3355</v>
      </c>
      <c r="B46" s="28" t="s">
        <v>37</v>
      </c>
      <c r="C46" s="28" t="s">
        <v>37</v>
      </c>
    </row>
    <row r="47" customHeight="1" spans="1:3">
      <c r="A47" s="26">
        <v>4000</v>
      </c>
      <c r="B47" s="28" t="s">
        <v>25</v>
      </c>
      <c r="C47" s="28" t="s">
        <v>138</v>
      </c>
    </row>
    <row r="48" customHeight="1" spans="1:3">
      <c r="A48" s="26">
        <v>397.58</v>
      </c>
      <c r="B48" s="27" t="s">
        <v>25</v>
      </c>
      <c r="C48" s="28" t="s">
        <v>139</v>
      </c>
    </row>
    <row r="49" customHeight="1" spans="1:3">
      <c r="A49" s="26">
        <v>2521.87</v>
      </c>
      <c r="B49" s="27" t="s">
        <v>25</v>
      </c>
      <c r="C49" s="28" t="s">
        <v>140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141</v>
      </c>
    </row>
    <row r="52" customHeight="1" spans="1:3">
      <c r="A52" s="26">
        <v>83.64</v>
      </c>
      <c r="B52" s="2" t="s">
        <v>25</v>
      </c>
      <c r="C52" s="2" t="s">
        <v>142</v>
      </c>
    </row>
    <row r="53" customHeight="1" spans="1:3">
      <c r="A53" s="26">
        <v>280</v>
      </c>
      <c r="B53" s="2" t="s">
        <v>25</v>
      </c>
      <c r="C53" s="2" t="s">
        <v>143</v>
      </c>
    </row>
    <row r="54" customHeight="1" spans="1:3">
      <c r="A54" s="26">
        <v>50</v>
      </c>
      <c r="B54" s="2" t="s">
        <v>14</v>
      </c>
      <c r="C54" s="2" t="s">
        <v>144</v>
      </c>
    </row>
    <row r="55" customHeight="1" spans="1:3">
      <c r="A55" s="26">
        <v>618</v>
      </c>
      <c r="B55" s="2" t="s">
        <v>25</v>
      </c>
      <c r="C55" s="2" t="s">
        <v>145</v>
      </c>
    </row>
    <row r="56" customHeight="1" spans="1:3">
      <c r="A56" s="26">
        <v>8092</v>
      </c>
      <c r="B56" s="2" t="s">
        <v>25</v>
      </c>
      <c r="C56" s="2" t="s">
        <v>146</v>
      </c>
    </row>
    <row r="57" customHeight="1" spans="1:3">
      <c r="A57" s="26">
        <v>1379</v>
      </c>
      <c r="B57" s="2" t="s">
        <v>25</v>
      </c>
      <c r="C57" s="2" t="s">
        <v>147</v>
      </c>
    </row>
    <row r="58" customHeight="1" spans="1:3">
      <c r="A58" s="26">
        <v>150</v>
      </c>
      <c r="B58" s="2" t="s">
        <v>14</v>
      </c>
      <c r="C58" s="2" t="s">
        <v>148</v>
      </c>
    </row>
    <row r="59" customHeight="1" spans="1:3">
      <c r="A59" s="26">
        <v>700</v>
      </c>
      <c r="B59" s="2" t="s">
        <v>14</v>
      </c>
      <c r="C59" s="2" t="s">
        <v>149</v>
      </c>
    </row>
    <row r="60" customHeight="1" spans="1:3">
      <c r="A60" s="26">
        <v>350</v>
      </c>
      <c r="B60" s="2" t="s">
        <v>25</v>
      </c>
      <c r="C60" s="2" t="s">
        <v>150</v>
      </c>
    </row>
    <row r="61" customHeight="1" spans="1:3">
      <c r="A61" s="26">
        <v>381</v>
      </c>
      <c r="B61" s="2" t="s">
        <v>25</v>
      </c>
      <c r="C61" s="2" t="s">
        <v>151</v>
      </c>
    </row>
    <row r="62" customHeight="1" spans="1:3">
      <c r="A62" s="26">
        <v>16.08</v>
      </c>
      <c r="B62" s="2" t="s">
        <v>14</v>
      </c>
      <c r="C62" s="2" t="s">
        <v>152</v>
      </c>
    </row>
    <row r="63" customHeight="1" spans="1:3">
      <c r="A63" s="26">
        <v>396</v>
      </c>
      <c r="B63" s="2" t="s">
        <v>25</v>
      </c>
      <c r="C63" s="2" t="s">
        <v>153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154</v>
      </c>
    </row>
    <row r="66" customHeight="1" spans="1:3">
      <c r="A66" s="26">
        <v>80</v>
      </c>
      <c r="B66" s="2" t="s">
        <v>25</v>
      </c>
      <c r="C66" s="2" t="s">
        <v>155</v>
      </c>
    </row>
    <row r="67" customHeight="1" spans="1:3">
      <c r="A67" s="26">
        <v>912</v>
      </c>
      <c r="B67" s="2" t="s">
        <v>25</v>
      </c>
      <c r="C67" s="2" t="s">
        <v>156</v>
      </c>
    </row>
    <row r="68" customHeight="1" spans="1:3">
      <c r="A68" s="26">
        <v>6783</v>
      </c>
      <c r="B68" s="2" t="s">
        <v>25</v>
      </c>
      <c r="C68" s="2" t="s">
        <v>157</v>
      </c>
    </row>
    <row r="69" customHeight="1" spans="1:3">
      <c r="A69" s="26">
        <v>265.6</v>
      </c>
      <c r="B69" s="2" t="s">
        <v>25</v>
      </c>
      <c r="C69" s="2" t="s">
        <v>158</v>
      </c>
    </row>
    <row r="70" customHeight="1" spans="1:3">
      <c r="A70" s="26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abSelected="1" topLeftCell="A57" workbookViewId="0">
      <selection activeCell="D13" sqref="D13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41045.58</v>
      </c>
      <c r="C3" s="6" t="s">
        <v>49</v>
      </c>
    </row>
    <row r="4" customHeight="1" spans="1:3">
      <c r="A4" s="8" t="s">
        <v>50</v>
      </c>
      <c r="B4" s="9">
        <f>SUM(支出明细26049[支出明细])</f>
        <v>39319.09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22365.66</v>
      </c>
      <c r="C5" s="10" t="s">
        <v>49</v>
      </c>
    </row>
    <row r="6" customHeight="1" spans="1:3">
      <c r="A6" s="10" t="s">
        <v>52</v>
      </c>
      <c r="B6" s="11">
        <f>$B$3-$B$4</f>
        <v>1726.49000000001</v>
      </c>
      <c r="C6" s="10" t="s">
        <v>49</v>
      </c>
    </row>
    <row r="7" customHeight="1" spans="1:3">
      <c r="A7" s="10" t="s">
        <v>53</v>
      </c>
      <c r="B7" s="12">
        <f>$B$5/$B$3</f>
        <v>0.544898135195069</v>
      </c>
      <c r="C7" s="10" t="s">
        <v>54</v>
      </c>
    </row>
    <row r="8" customHeight="1" spans="1:3">
      <c r="A8" s="10" t="s">
        <v>55</v>
      </c>
      <c r="B8" s="12">
        <f>$B$6/$B$3</f>
        <v>0.0420627507273622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10340.77</v>
      </c>
      <c r="C13" s="12">
        <f>$B$13/$B$3</f>
        <v>0.251933825761507</v>
      </c>
    </row>
    <row r="14" customHeight="1" spans="1:3">
      <c r="A14" s="10" t="s">
        <v>61</v>
      </c>
      <c r="B14" s="11">
        <f>SUMIF(收入明细260410[分类],"美团外卖",收入明细260410[收入明细])</f>
        <v>15533.62</v>
      </c>
      <c r="C14" s="12">
        <f>$B$14/$B$3</f>
        <v>0.378448057013691</v>
      </c>
    </row>
    <row r="15" customHeight="1" spans="1:3">
      <c r="A15" s="10" t="s">
        <v>135</v>
      </c>
      <c r="B15" s="11">
        <f>SUMIF(收入明细260410[分类],"抖音来客",收入明细260410[收入明细])</f>
        <v>26.9</v>
      </c>
      <c r="C15" s="12">
        <f>$B$15/$B$3</f>
        <v>0.000655368982482401</v>
      </c>
    </row>
    <row r="16" customHeight="1" spans="1:3">
      <c r="A16" s="10" t="s">
        <v>62</v>
      </c>
      <c r="B16" s="11">
        <f>SUMIF(收入明细260410[分类],"微信堂食",收入明细260410[收入明细])</f>
        <v>7007.74</v>
      </c>
      <c r="C16" s="12">
        <f>$B$16/$B$3</f>
        <v>0.170730685252834</v>
      </c>
    </row>
    <row r="17" customHeight="1" spans="1:3">
      <c r="A17" s="10" t="s">
        <v>63</v>
      </c>
      <c r="B17" s="11">
        <f>SUMIF(收入明细260410[分类],"支付宝堂食",收入明细260410[收入明细])</f>
        <v>2317.44</v>
      </c>
      <c r="C17" s="12">
        <f>$B$17/$B$3</f>
        <v>0.0564601596566549</v>
      </c>
    </row>
    <row r="18" customHeight="1" spans="1:3">
      <c r="A18" s="10" t="s">
        <v>64</v>
      </c>
      <c r="B18" s="11">
        <f>SUMIF(收入明细260410[分类],"京东外卖",收入明细260410[收入明细])</f>
        <v>5819.11</v>
      </c>
      <c r="C18" s="12">
        <f>$B$18/$B$3</f>
        <v>0.141771903332831</v>
      </c>
    </row>
    <row r="19" customHeight="1" spans="1:3">
      <c r="A19" s="16" t="s">
        <v>65</v>
      </c>
      <c r="B19" s="17">
        <f>SUM(B13:B18)</f>
        <v>41045.58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SUMIF(支出明细26049[分类],"食材",支出明细26049[支出明细])</f>
        <v>18679.92</v>
      </c>
      <c r="C24" s="12">
        <f>$B$24/$B$4</f>
        <v>0.47508525756827</v>
      </c>
    </row>
    <row r="25" customHeight="1" spans="1:3">
      <c r="A25" s="10" t="s">
        <v>68</v>
      </c>
      <c r="B25" s="11">
        <f>SUMIF(支出明细26049[分类],"工资",支出明细26049[支出明细])</f>
        <v>12000</v>
      </c>
      <c r="C25" s="12">
        <f>$B$25/$B$4</f>
        <v>0.305195262657401</v>
      </c>
    </row>
    <row r="26" customHeight="1" spans="1:3">
      <c r="A26" s="10" t="s">
        <v>6</v>
      </c>
      <c r="B26" s="11">
        <f>SUMIF(支出明细26049[分类],"房租",支出明细26049[支出明细])</f>
        <v>4333</v>
      </c>
      <c r="C26" s="12">
        <f>$B$26/$B$4</f>
        <v>0.110200922757877</v>
      </c>
    </row>
    <row r="27" customHeight="1" spans="1:3">
      <c r="A27" s="10" t="s">
        <v>32</v>
      </c>
      <c r="B27" s="11">
        <f>SUMIF(支出明细26049[分类],"推广",支出明细26049[支出明细])</f>
        <v>557.17</v>
      </c>
      <c r="C27" s="12">
        <f>$B$27/$B$4</f>
        <v>0.0141704703745687</v>
      </c>
    </row>
    <row r="28" customHeight="1" spans="1:3">
      <c r="A28" s="10" t="s">
        <v>37</v>
      </c>
      <c r="B28" s="11">
        <f>SUMIF(支出明细26049[分类],"水电",支出明细26049[支出明细])</f>
        <v>3000</v>
      </c>
      <c r="C28" s="12">
        <f>$B$28/$B$4</f>
        <v>0.0762988156643503</v>
      </c>
    </row>
    <row r="29" customHeight="1" spans="1:3">
      <c r="A29" s="10" t="s">
        <v>14</v>
      </c>
      <c r="B29" s="11">
        <f>SUMIF(支出明细26049[分类],"其他",支出明细26049[支出明细])</f>
        <v>749</v>
      </c>
      <c r="C29" s="12">
        <f>$B$29/$B$4</f>
        <v>0.0190492709775328</v>
      </c>
    </row>
    <row r="30" customHeight="1" spans="1:3">
      <c r="A30" s="23" t="s">
        <v>65</v>
      </c>
      <c r="B30" s="24">
        <f>SUM(B24:B29)</f>
        <v>39319.09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6912.86</v>
      </c>
      <c r="B34" s="27" t="s">
        <v>62</v>
      </c>
      <c r="C34" s="28" t="s">
        <v>136</v>
      </c>
    </row>
    <row r="35" customHeight="1" spans="1:3">
      <c r="A35" s="29">
        <v>94.88</v>
      </c>
      <c r="B35" s="27" t="s">
        <v>62</v>
      </c>
      <c r="C35" s="28" t="s">
        <v>137</v>
      </c>
    </row>
    <row r="36" customHeight="1" spans="1:3">
      <c r="A36" s="29">
        <v>2317.44</v>
      </c>
      <c r="B36" s="27" t="s">
        <v>63</v>
      </c>
      <c r="C36" s="28"/>
    </row>
    <row r="37" customHeight="1" spans="1:3">
      <c r="A37" s="29">
        <v>5819.11</v>
      </c>
      <c r="B37" s="27" t="s">
        <v>64</v>
      </c>
      <c r="C37" s="28"/>
    </row>
    <row r="38" customHeight="1" spans="1:3">
      <c r="A38" s="29">
        <v>10340.77</v>
      </c>
      <c r="B38" s="27" t="s">
        <v>60</v>
      </c>
      <c r="C38" s="28"/>
    </row>
    <row r="39" customHeight="1" spans="1:3">
      <c r="A39" s="29">
        <v>15533.62</v>
      </c>
      <c r="B39" s="27" t="s">
        <v>61</v>
      </c>
      <c r="C39" s="28"/>
    </row>
    <row r="40" customHeight="1" spans="1:3">
      <c r="A40" s="26">
        <v>26.9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3000</v>
      </c>
      <c r="B46" s="28" t="s">
        <v>37</v>
      </c>
      <c r="C46" s="28" t="s">
        <v>160</v>
      </c>
    </row>
    <row r="47" customHeight="1" spans="1:3">
      <c r="A47" s="26">
        <v>2000</v>
      </c>
      <c r="B47" s="27" t="s">
        <v>25</v>
      </c>
      <c r="C47" s="28" t="s">
        <v>161</v>
      </c>
    </row>
    <row r="48" customHeight="1" spans="1:3">
      <c r="A48" s="26">
        <v>915</v>
      </c>
      <c r="B48" s="2" t="s">
        <v>25</v>
      </c>
      <c r="C48" s="2" t="s">
        <v>162</v>
      </c>
    </row>
    <row r="49" customHeight="1" spans="1:3">
      <c r="A49" s="26">
        <v>601.92</v>
      </c>
      <c r="B49" s="2" t="s">
        <v>25</v>
      </c>
      <c r="C49" s="2" t="s">
        <v>112</v>
      </c>
    </row>
    <row r="50" customHeight="1" spans="1:3">
      <c r="A50" s="26">
        <v>200</v>
      </c>
      <c r="B50" s="2" t="s">
        <v>14</v>
      </c>
      <c r="C50" s="2" t="s">
        <v>163</v>
      </c>
    </row>
    <row r="51" customHeight="1" spans="1:3">
      <c r="A51" s="26">
        <v>678</v>
      </c>
      <c r="B51" s="2" t="s">
        <v>25</v>
      </c>
      <c r="C51" s="2" t="s">
        <v>164</v>
      </c>
    </row>
    <row r="52" customHeight="1" spans="1:3">
      <c r="A52" s="26">
        <v>6795</v>
      </c>
      <c r="B52" s="2" t="s">
        <v>25</v>
      </c>
      <c r="C52" s="2" t="s">
        <v>165</v>
      </c>
    </row>
    <row r="53" customHeight="1" spans="1:3">
      <c r="A53" s="26">
        <v>50</v>
      </c>
      <c r="B53" s="2" t="s">
        <v>14</v>
      </c>
      <c r="C53" s="2" t="s">
        <v>144</v>
      </c>
    </row>
    <row r="54" customHeight="1" spans="1:3">
      <c r="A54" s="26">
        <v>500</v>
      </c>
      <c r="B54" s="2" t="s">
        <v>25</v>
      </c>
      <c r="C54" s="2" t="s">
        <v>166</v>
      </c>
    </row>
    <row r="55" customHeight="1" spans="1:3">
      <c r="A55" s="26">
        <v>300</v>
      </c>
      <c r="B55" s="2" t="s">
        <v>32</v>
      </c>
      <c r="C55" s="2" t="s">
        <v>167</v>
      </c>
    </row>
    <row r="56" customHeight="1" spans="1:3">
      <c r="A56" s="26">
        <v>860</v>
      </c>
      <c r="B56" s="2" t="s">
        <v>25</v>
      </c>
      <c r="C56" s="2" t="s">
        <v>168</v>
      </c>
    </row>
    <row r="57" customHeight="1" spans="1:3">
      <c r="A57" s="26">
        <v>499</v>
      </c>
      <c r="B57" s="2" t="s">
        <v>14</v>
      </c>
      <c r="C57" s="2" t="s">
        <v>169</v>
      </c>
    </row>
    <row r="58" customHeight="1" spans="1:3">
      <c r="A58" s="26">
        <v>214.9</v>
      </c>
      <c r="B58" s="2" t="s">
        <v>25</v>
      </c>
      <c r="C58" s="2" t="s">
        <v>170</v>
      </c>
    </row>
    <row r="59" customHeight="1" spans="1:3">
      <c r="A59" s="26">
        <v>100</v>
      </c>
      <c r="B59" s="2" t="s">
        <v>32</v>
      </c>
      <c r="C59" s="2" t="s">
        <v>171</v>
      </c>
    </row>
    <row r="60" customHeight="1" spans="1:3">
      <c r="A60" s="26">
        <v>4282</v>
      </c>
      <c r="B60" s="2" t="s">
        <v>25</v>
      </c>
      <c r="C60" s="2" t="s">
        <v>172</v>
      </c>
    </row>
    <row r="61" customHeight="1" spans="1:3">
      <c r="A61" s="26">
        <v>38.92</v>
      </c>
      <c r="B61" s="2" t="s">
        <v>32</v>
      </c>
      <c r="C61" s="2" t="s">
        <v>173</v>
      </c>
    </row>
    <row r="62" customHeight="1" spans="1:3">
      <c r="A62" s="26">
        <v>38.3</v>
      </c>
      <c r="B62" s="2" t="s">
        <v>25</v>
      </c>
      <c r="C62" s="2" t="s">
        <v>174</v>
      </c>
    </row>
    <row r="63" customHeight="1" spans="1:3">
      <c r="A63" s="26">
        <v>38.1</v>
      </c>
      <c r="B63" s="2" t="s">
        <v>25</v>
      </c>
      <c r="C63" s="2" t="s">
        <v>175</v>
      </c>
    </row>
    <row r="64" customHeight="1" spans="1:3">
      <c r="A64" s="26">
        <v>635</v>
      </c>
      <c r="B64" s="2" t="s">
        <v>25</v>
      </c>
      <c r="C64" s="2" t="s">
        <v>166</v>
      </c>
    </row>
    <row r="65" customHeight="1" spans="1:3">
      <c r="A65" s="26">
        <v>482</v>
      </c>
      <c r="B65" s="2" t="s">
        <v>25</v>
      </c>
      <c r="C65" s="2" t="s">
        <v>168</v>
      </c>
    </row>
    <row r="66" customHeight="1" spans="1:3">
      <c r="A66" s="26">
        <v>100</v>
      </c>
      <c r="B66" s="2" t="s">
        <v>32</v>
      </c>
      <c r="C66" s="2" t="s">
        <v>111</v>
      </c>
    </row>
    <row r="67" customHeight="1" spans="1:3">
      <c r="A67" s="26">
        <v>291.46</v>
      </c>
      <c r="B67" s="2" t="s">
        <v>25</v>
      </c>
      <c r="C67" s="2" t="s">
        <v>176</v>
      </c>
    </row>
    <row r="68" customHeight="1" spans="1:3">
      <c r="A68" s="26">
        <v>296.64</v>
      </c>
      <c r="B68" s="2" t="s">
        <v>25</v>
      </c>
      <c r="C68" s="2" t="s">
        <v>176</v>
      </c>
    </row>
    <row r="69" customHeight="1" spans="1:3">
      <c r="A69" s="26">
        <v>18.25</v>
      </c>
      <c r="B69" s="2" t="s">
        <v>32</v>
      </c>
      <c r="C69" s="2" t="s">
        <v>173</v>
      </c>
    </row>
    <row r="70" customHeight="1" spans="1:3">
      <c r="A70" s="26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workbookViewId="0">
      <selection activeCell="B14" sqref="B14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SUM(收入明细260410_12[收入明细])</f>
        <v>0</v>
      </c>
      <c r="C3" s="6" t="s">
        <v>49</v>
      </c>
    </row>
    <row r="4" customHeight="1" spans="1:3">
      <c r="A4" s="8" t="s">
        <v>50</v>
      </c>
      <c r="B4" s="9">
        <f>SUM(支出明细26049_11[支出明细])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$B$3-SUMIF(支出明细26049_11[分类],"食材",支出明细26049_11[支出明细])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SUMIF(收入明细260410_12[分类],"淘宝外卖",收入明细260410_12[收入明细])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SUMIF(收入明细260410_12[分类],"美团外卖",收入明细260410_12[收入明细])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SUMIF(收入明细260410_12[分类],"微信堂食",收入明细260410_12[收入明细])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SUMIF(收入明细260410_12[分类],"支付宝堂食",收入明细260410_12[收入明细])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SUMIF(收入明细260410_12[分类],"京东外卖",收入明细260410_12[收入明细])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SUMIF(支出明细26049_11[分类],"食材",支出明细26049_11[支出明细])</f>
        <v>0</v>
      </c>
      <c r="C23" s="12">
        <f>$B$23/$B$4</f>
        <v>0</v>
      </c>
    </row>
    <row r="24" customHeight="1" spans="1:3">
      <c r="A24" s="10" t="s">
        <v>68</v>
      </c>
      <c r="B24" s="11">
        <f>SUMIF(支出明细26049_11[分类],"工资",支出明细26049_11[支出明细])</f>
        <v>12000</v>
      </c>
      <c r="C24" s="12">
        <f>$B$24/$B$4</f>
        <v>0.605052185751021</v>
      </c>
    </row>
    <row r="25" customHeight="1" spans="1:3">
      <c r="A25" s="10" t="s">
        <v>6</v>
      </c>
      <c r="B25" s="11">
        <f>SUMIF(支出明细26049_11[分类],"房租",支出明细26049_11[支出明细])</f>
        <v>4333</v>
      </c>
      <c r="C25" s="12">
        <f>$B$25/$B$4</f>
        <v>0.218474260071598</v>
      </c>
    </row>
    <row r="26" customHeight="1" spans="1:3">
      <c r="A26" s="10" t="s">
        <v>32</v>
      </c>
      <c r="B26" s="11">
        <f>SUMIF(支出明细26049_11[分类],"推广",支出明细26049_11[支出明细])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SUMIF(支出明细26049_11[分类],"水电",支出明细26049_11[支出明细])</f>
        <v>3500</v>
      </c>
      <c r="C27" s="12">
        <f>$B$27/$B$4</f>
        <v>0.176473554177381</v>
      </c>
    </row>
    <row r="28" customHeight="1" spans="1:3">
      <c r="A28" s="10" t="s">
        <v>14</v>
      </c>
      <c r="B28" s="11">
        <f>SUMIF(支出明细26049_11[分类],"其他",支出明细26049_11[支出明细])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19833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62</v>
      </c>
      <c r="C33" s="28" t="s">
        <v>136</v>
      </c>
    </row>
    <row r="34" customHeight="1" spans="1:3">
      <c r="A34" s="29">
        <v>0</v>
      </c>
      <c r="B34" s="27" t="s">
        <v>62</v>
      </c>
      <c r="C34" s="28" t="s">
        <v>137</v>
      </c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160</v>
      </c>
    </row>
    <row r="44" customHeight="1" spans="1:3">
      <c r="A44" s="26">
        <v>3500</v>
      </c>
      <c r="B44" s="28" t="s">
        <v>37</v>
      </c>
      <c r="C44" s="28" t="s">
        <v>160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2:B7 B42:B4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opLeftCell="A26" workbookViewId="0">
      <selection activeCell="C34" sqref="A33:C34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SUM(收入明细260410_1214[收入明细])</f>
        <v>0</v>
      </c>
      <c r="C3" s="6" t="s">
        <v>49</v>
      </c>
    </row>
    <row r="4" customHeight="1" spans="1:3">
      <c r="A4" s="8" t="s">
        <v>50</v>
      </c>
      <c r="B4" s="9">
        <f>SUM(支出明细26049_1113[支出明细])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$B$3-SUMIF(支出明细26049_1113[分类],"食材",支出明细26049_1113[支出明细])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SUMIF(收入明细260410_1214[分类],"淘宝外卖",收入明细260410_1214[收入明细])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SUMIF(收入明细260410_1214[分类],"美团外卖",收入明细260410_1214[收入明细])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SUMIF(收入明细260410_1214[分类],"微信堂食",收入明细260410_1214[收入明细])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SUMIF(收入明细260410_1214[分类],"支付宝堂食",收入明细260410_1214[收入明细])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SUMIF(收入明细260410_1214[分类],"京东外卖",收入明细260410_1214[收入明细])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SUMIF(支出明细26049_1113[分类],"食材",支出明细26049_1113[支出明细])</f>
        <v>0</v>
      </c>
      <c r="C23" s="12">
        <f>$B$23/$B$4</f>
        <v>0</v>
      </c>
    </row>
    <row r="24" customHeight="1" spans="1:3">
      <c r="A24" s="10" t="s">
        <v>68</v>
      </c>
      <c r="B24" s="11">
        <f>SUMIF(支出明细26049_1113[分类],"工资",支出明细26049_1113[支出明细])</f>
        <v>12000</v>
      </c>
      <c r="C24" s="12">
        <f>$B$24/$B$4</f>
        <v>0.605052185751021</v>
      </c>
    </row>
    <row r="25" customHeight="1" spans="1:3">
      <c r="A25" s="10" t="s">
        <v>6</v>
      </c>
      <c r="B25" s="11">
        <f>SUMIF(支出明细26049_1113[分类],"房租",支出明细26049_1113[支出明细])</f>
        <v>4333</v>
      </c>
      <c r="C25" s="12">
        <f>$B$25/$B$4</f>
        <v>0.218474260071598</v>
      </c>
    </row>
    <row r="26" customHeight="1" spans="1:3">
      <c r="A26" s="10" t="s">
        <v>32</v>
      </c>
      <c r="B26" s="11">
        <f>SUMIF(支出明细26049_1113[分类],"推广",支出明细26049_1113[支出明细])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SUMIF(支出明细26049_1113[分类],"水电",支出明细26049_1113[支出明细])</f>
        <v>3500</v>
      </c>
      <c r="C27" s="12">
        <f>$B$27/$B$4</f>
        <v>0.176473554177381</v>
      </c>
    </row>
    <row r="28" customHeight="1" spans="1:3">
      <c r="A28" s="10" t="s">
        <v>14</v>
      </c>
      <c r="B28" s="11">
        <f>SUMIF(支出明细26049_1113[分类],"其他",支出明细26049_1113[支出明细])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19833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62</v>
      </c>
      <c r="C33" s="28" t="s">
        <v>136</v>
      </c>
    </row>
    <row r="34" customHeight="1" spans="1:3">
      <c r="A34" s="29">
        <v>0</v>
      </c>
      <c r="B34" s="27" t="s">
        <v>62</v>
      </c>
      <c r="C34" s="28" t="s">
        <v>137</v>
      </c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160</v>
      </c>
    </row>
    <row r="44" customHeight="1" spans="1:3">
      <c r="A44" s="26">
        <v>3500</v>
      </c>
      <c r="B44" s="28" t="s">
        <v>37</v>
      </c>
      <c r="C44" s="28" t="s">
        <v>160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2:B7 B42:B4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opLeftCell="A26" workbookViewId="0">
      <selection activeCell="C34" sqref="A33:C34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SUM(收入明细260410_121416[收入明细])</f>
        <v>0</v>
      </c>
      <c r="C3" s="6" t="s">
        <v>49</v>
      </c>
    </row>
    <row r="4" customHeight="1" spans="1:3">
      <c r="A4" s="8" t="s">
        <v>50</v>
      </c>
      <c r="B4" s="9">
        <f>SUM(支出明细26049_111315[支出明细])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$B$3-SUMIF(支出明细26049_111315[分类],"食材",支出明细26049_111315[支出明细])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SUMIF(收入明细260410_121416[分类],"淘宝外卖",收入明细260410_121416[收入明细])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SUMIF(收入明细260410_121416[分类],"美团外卖",收入明细260410_121416[收入明细])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SUMIF(收入明细260410_121416[分类],"微信堂食",收入明细260410_121416[收入明细])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SUMIF(收入明细260410_121416[分类],"支付宝堂食",收入明细260410_121416[收入明细])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SUMIF(收入明细260410_121416[分类],"京东外卖",收入明细260410_121416[收入明细])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SUMIF(支出明细26049_111315[分类],"食材",支出明细26049_111315[支出明细])</f>
        <v>0</v>
      </c>
      <c r="C23" s="12">
        <f>$B$23/$B$4</f>
        <v>0</v>
      </c>
    </row>
    <row r="24" customHeight="1" spans="1:3">
      <c r="A24" s="10" t="s">
        <v>68</v>
      </c>
      <c r="B24" s="11">
        <f>SUMIF(支出明细26049_111315[分类],"工资",支出明细26049_111315[支出明细])</f>
        <v>12000</v>
      </c>
      <c r="C24" s="12">
        <f>$B$24/$B$4</f>
        <v>0.605052185751021</v>
      </c>
    </row>
    <row r="25" customHeight="1" spans="1:3">
      <c r="A25" s="10" t="s">
        <v>6</v>
      </c>
      <c r="B25" s="11">
        <f>SUMIF(支出明细26049_111315[分类],"房租",支出明细26049_111315[支出明细])</f>
        <v>4333</v>
      </c>
      <c r="C25" s="12">
        <f>$B$25/$B$4</f>
        <v>0.218474260071598</v>
      </c>
    </row>
    <row r="26" customHeight="1" spans="1:3">
      <c r="A26" s="10" t="s">
        <v>32</v>
      </c>
      <c r="B26" s="11">
        <f>SUMIF(支出明细26049_111315[分类],"推广",支出明细26049_111315[支出明细])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SUMIF(支出明细26049_111315[分类],"水电",支出明细26049_111315[支出明细])</f>
        <v>3500</v>
      </c>
      <c r="C27" s="12">
        <f>$B$27/$B$4</f>
        <v>0.176473554177381</v>
      </c>
    </row>
    <row r="28" customHeight="1" spans="1:3">
      <c r="A28" s="10" t="s">
        <v>14</v>
      </c>
      <c r="B28" s="11">
        <f>SUMIF(支出明细26049_111315[分类],"其他",支出明细26049_111315[支出明细])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19833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62</v>
      </c>
      <c r="C33" s="28" t="s">
        <v>136</v>
      </c>
    </row>
    <row r="34" customHeight="1" spans="1:3">
      <c r="A34" s="29">
        <v>0</v>
      </c>
      <c r="B34" s="27" t="s">
        <v>62</v>
      </c>
      <c r="C34" s="28" t="s">
        <v>137</v>
      </c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160</v>
      </c>
    </row>
    <row r="44" customHeight="1" spans="1:3">
      <c r="A44" s="26">
        <v>3500</v>
      </c>
      <c r="B44" s="28" t="s">
        <v>37</v>
      </c>
      <c r="C44" s="28" t="s">
        <v>160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2:B7 B42:B4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opLeftCell="A26" workbookViewId="0">
      <selection activeCell="D37" sqref="D37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SUM(收入明细260410_12141618[收入明细])</f>
        <v>0</v>
      </c>
      <c r="C3" s="6" t="s">
        <v>49</v>
      </c>
    </row>
    <row r="4" customHeight="1" spans="1:3">
      <c r="A4" s="8" t="s">
        <v>50</v>
      </c>
      <c r="B4" s="9">
        <f>SUM(支出明细26049_11131517[支出明细])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$B$3-SUMIF(支出明细26049_11131517[分类],"食材",支出明细26049_11131517[支出明细])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SUMIF(收入明细260410_12141618[分类],"淘宝外卖",收入明细260410_12141618[收入明细])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SUMIF(收入明细260410_12141618[分类],"美团外卖",收入明细260410_12141618[收入明细])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SUMIF(收入明细260410_12141618[分类],"微信堂食",收入明细260410_12141618[收入明细])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SUMIF(收入明细260410_12141618[分类],"支付宝堂食",收入明细260410_12141618[收入明细])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SUMIF(收入明细260410_12141618[分类],"京东外卖",收入明细260410_12141618[收入明细])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SUMIF(支出明细26049_11131517[分类],"食材",支出明细26049_11131517[支出明细])</f>
        <v>0</v>
      </c>
      <c r="C23" s="12">
        <f>$B$23/$B$4</f>
        <v>0</v>
      </c>
    </row>
    <row r="24" customHeight="1" spans="1:3">
      <c r="A24" s="10" t="s">
        <v>68</v>
      </c>
      <c r="B24" s="11">
        <f>SUMIF(支出明细26049_11131517[分类],"工资",支出明细26049_11131517[支出明细])</f>
        <v>12000</v>
      </c>
      <c r="C24" s="12">
        <f>$B$24/$B$4</f>
        <v>0.605052185751021</v>
      </c>
    </row>
    <row r="25" customHeight="1" spans="1:3">
      <c r="A25" s="10" t="s">
        <v>6</v>
      </c>
      <c r="B25" s="11">
        <f>SUMIF(支出明细26049_11131517[分类],"房租",支出明细26049_11131517[支出明细])</f>
        <v>4333</v>
      </c>
      <c r="C25" s="12">
        <f>$B$25/$B$4</f>
        <v>0.218474260071598</v>
      </c>
    </row>
    <row r="26" customHeight="1" spans="1:3">
      <c r="A26" s="10" t="s">
        <v>32</v>
      </c>
      <c r="B26" s="11">
        <f>SUMIF(支出明细26049_11131517[分类],"推广",支出明细26049_11131517[支出明细])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SUMIF(支出明细26049_11131517[分类],"水电",支出明细26049_11131517[支出明细])</f>
        <v>3500</v>
      </c>
      <c r="C27" s="12">
        <f>$B$27/$B$4</f>
        <v>0.176473554177381</v>
      </c>
    </row>
    <row r="28" customHeight="1" spans="1:3">
      <c r="A28" s="10" t="s">
        <v>14</v>
      </c>
      <c r="B28" s="11">
        <f>SUMIF(支出明细26049_11131517[分类],"其他",支出明细26049_11131517[支出明细])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19833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62</v>
      </c>
      <c r="C33" s="28" t="s">
        <v>136</v>
      </c>
    </row>
    <row r="34" customHeight="1" spans="1:3">
      <c r="A34" s="29">
        <v>0</v>
      </c>
      <c r="B34" s="27" t="s">
        <v>62</v>
      </c>
      <c r="C34" s="28" t="s">
        <v>137</v>
      </c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160</v>
      </c>
    </row>
    <row r="44" customHeight="1" spans="1:3">
      <c r="A44" s="26">
        <v>3500</v>
      </c>
      <c r="B44" s="28" t="s">
        <v>37</v>
      </c>
      <c r="C44" s="28" t="s">
        <v>160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2:B7 B42:B4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2026-03-03T03:28:00Z</dcterms:created>
  <dcterms:modified xsi:type="dcterms:W3CDTF">2026-06-01T10:00:06Z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