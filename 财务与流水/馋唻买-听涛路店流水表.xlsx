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80" tabRatio="723" firstSheet="1" activeTab="2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<sst xmlns="http://schemas.openxmlformats.org/spreadsheetml/2006/main" count="690" uniqueCount="182">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</sst>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178" formatCode="0.00_ ;[Red]\-0.00\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35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1" fillId="14" borderId="9" applyNumberFormat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3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23" fillId="28" borderId="9" applyNumberFormat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4" fillId="16" borderId="10" applyNumberFormat="0" applyAlignment="0" applyProtection="0">
      <alignment vertical="center"/>
    </xf>
    <xf numFmtId="0" fontId="24" fillId="28" borderId="12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4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0" fillId="42" borderId="13" applyNumberFormat="0" applyFont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53">
  <autoFilter ref="A43:C53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6">
  <autoFilter ref="A43:C4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tabSelected="1"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4" workbookViewId="0">
      <selection activeCell="A10" sqref="A1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41045.58</v>
      </c>
      <c r="C3" s="6" t="s">
        <v>49</v>
      </c>
    </row>
    <row r="4" customHeight="1" spans="1:3">
      <c r="A4" s="8" t="s">
        <v>50</v>
      </c>
      <c r="B4" s="9">
        <f>SUM(支出明细26049[支出明细])</f>
        <v>39819.09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22365.66</v>
      </c>
      <c r="C5" s="10" t="s">
        <v>49</v>
      </c>
    </row>
    <row r="6" customHeight="1" spans="1:3">
      <c r="A6" s="10" t="s">
        <v>52</v>
      </c>
      <c r="B6" s="11">
        <f>$B$3-$B$4</f>
        <v>1226.49000000001</v>
      </c>
      <c r="C6" s="10" t="s">
        <v>49</v>
      </c>
    </row>
    <row r="7" customHeight="1" spans="1:3">
      <c r="A7" s="10" t="s">
        <v>53</v>
      </c>
      <c r="B7" s="12">
        <f>$B$5/$B$3</f>
        <v>0.544898135195069</v>
      </c>
      <c r="C7" s="10" t="s">
        <v>54</v>
      </c>
    </row>
    <row r="8" customHeight="1" spans="1:3">
      <c r="A8" s="10" t="s">
        <v>55</v>
      </c>
      <c r="B8" s="12">
        <f>$B$6/$B$3</f>
        <v>0.0298811711273176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10340.77</v>
      </c>
      <c r="C13" s="12">
        <f>$B$13/$B$3</f>
        <v>0.251933825761507</v>
      </c>
    </row>
    <row r="14" customHeight="1" spans="1:3">
      <c r="A14" s="10" t="s">
        <v>61</v>
      </c>
      <c r="B14" s="11">
        <f>SUMIF(收入明细260410[分类],"美团外卖",收入明细260410[收入明细])</f>
        <v>15533.62</v>
      </c>
      <c r="C14" s="12">
        <f>$B$14/$B$3</f>
        <v>0.378448057013691</v>
      </c>
    </row>
    <row r="15" customHeight="1" spans="1:3">
      <c r="A15" s="10" t="s">
        <v>135</v>
      </c>
      <c r="B15" s="11">
        <f>SUMIF(收入明细260410[分类],"抖音来客",收入明细260410[收入明细])</f>
        <v>26.9</v>
      </c>
      <c r="C15" s="12">
        <f>$B$15/$B$3</f>
        <v>0.000655368982482401</v>
      </c>
    </row>
    <row r="16" customHeight="1" spans="1:3">
      <c r="A16" s="10" t="s">
        <v>62</v>
      </c>
      <c r="B16" s="11">
        <f>SUMIF(收入明细260410[分类],"微信堂食",收入明细260410[收入明细])</f>
        <v>7007.74</v>
      </c>
      <c r="C16" s="12">
        <f>$B$16/$B$3</f>
        <v>0.170730685252834</v>
      </c>
    </row>
    <row r="17" customHeight="1" spans="1:3">
      <c r="A17" s="10" t="s">
        <v>63</v>
      </c>
      <c r="B17" s="11">
        <f>SUMIF(收入明细260410[分类],"支付宝堂食",收入明细260410[收入明细])</f>
        <v>2317.44</v>
      </c>
      <c r="C17" s="12">
        <f>$B$17/$B$3</f>
        <v>0.0564601596566549</v>
      </c>
    </row>
    <row r="18" customHeight="1" spans="1:3">
      <c r="A18" s="10" t="s">
        <v>64</v>
      </c>
      <c r="B18" s="11">
        <f>SUMIF(收入明细260410[分类],"京东外卖",收入明细260410[收入明细])</f>
        <v>5819.11</v>
      </c>
      <c r="C18" s="12">
        <f>$B$18/$B$3</f>
        <v>0.141771903332831</v>
      </c>
    </row>
    <row r="19" customHeight="1" spans="1:3">
      <c r="A19" s="16" t="s">
        <v>65</v>
      </c>
      <c r="B19" s="17">
        <f>SUM(B13:B18)</f>
        <v>41045.58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SUMIF(支出明细26049[分类],"食材",支出明细26049[支出明细])</f>
        <v>18679.92</v>
      </c>
      <c r="C24" s="12">
        <f>$B$24/$B$4</f>
        <v>0.469119711173711</v>
      </c>
    </row>
    <row r="25" customHeight="1" spans="1:3">
      <c r="A25" s="10" t="s">
        <v>68</v>
      </c>
      <c r="B25" s="11">
        <f>SUMIF(支出明细26049[分类],"工资",支出明细26049[支出明细])</f>
        <v>12000</v>
      </c>
      <c r="C25" s="12">
        <f>$B$25/$B$4</f>
        <v>0.301362989460583</v>
      </c>
    </row>
    <row r="26" customHeight="1" spans="1:3">
      <c r="A26" s="10" t="s">
        <v>6</v>
      </c>
      <c r="B26" s="11">
        <f>SUMIF(支出明细26049[分类],"房租",支出明细26049[支出明细])</f>
        <v>4333</v>
      </c>
      <c r="C26" s="12">
        <f>$B$26/$B$4</f>
        <v>0.108817152777725</v>
      </c>
    </row>
    <row r="27" customHeight="1" spans="1:3">
      <c r="A27" s="10" t="s">
        <v>32</v>
      </c>
      <c r="B27" s="11">
        <f>SUMIF(支出明细26049[分类],"推广",支出明细26049[支出明细])</f>
        <v>557.17</v>
      </c>
      <c r="C27" s="12">
        <f>$B$27/$B$4</f>
        <v>0.0139925347364794</v>
      </c>
    </row>
    <row r="28" customHeight="1" spans="1:3">
      <c r="A28" s="10" t="s">
        <v>37</v>
      </c>
      <c r="B28" s="11">
        <f>SUMIF(支出明细26049[分类],"水电",支出明细26049[支出明细])</f>
        <v>3500</v>
      </c>
      <c r="C28" s="12">
        <f>$B$28/$B$4</f>
        <v>0.08789753859267</v>
      </c>
    </row>
    <row r="29" customHeight="1" spans="1:3">
      <c r="A29" s="10" t="s">
        <v>14</v>
      </c>
      <c r="B29" s="11">
        <f>SUMIF(支出明细26049[分类],"其他",支出明细26049[支出明细])</f>
        <v>749</v>
      </c>
      <c r="C29" s="12">
        <f>$B$29/$B$4</f>
        <v>0.0188100732588314</v>
      </c>
    </row>
    <row r="30" customHeight="1" spans="1:3">
      <c r="A30" s="23" t="s">
        <v>65</v>
      </c>
      <c r="B30" s="24">
        <f>SUM(B24:B29)</f>
        <v>39819.09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6912.86</v>
      </c>
      <c r="B34" s="27" t="s">
        <v>62</v>
      </c>
      <c r="C34" s="28" t="s">
        <v>136</v>
      </c>
    </row>
    <row r="35" customHeight="1" spans="1:3">
      <c r="A35" s="29">
        <v>94.88</v>
      </c>
      <c r="B35" s="27" t="s">
        <v>62</v>
      </c>
      <c r="C35" s="28" t="s">
        <v>137</v>
      </c>
    </row>
    <row r="36" customHeight="1" spans="1:3">
      <c r="A36" s="29">
        <v>2317.44</v>
      </c>
      <c r="B36" s="27" t="s">
        <v>63</v>
      </c>
      <c r="C36" s="28"/>
    </row>
    <row r="37" customHeight="1" spans="1:3">
      <c r="A37" s="29">
        <v>5819.11</v>
      </c>
      <c r="B37" s="27" t="s">
        <v>64</v>
      </c>
      <c r="C37" s="28"/>
    </row>
    <row r="38" customHeight="1" spans="1:3">
      <c r="A38" s="29">
        <v>10340.77</v>
      </c>
      <c r="B38" s="27" t="s">
        <v>60</v>
      </c>
      <c r="C38" s="28"/>
    </row>
    <row r="39" customHeight="1" spans="1:3">
      <c r="A39" s="29">
        <v>15533.62</v>
      </c>
      <c r="B39" s="27" t="s">
        <v>61</v>
      </c>
      <c r="C39" s="28"/>
    </row>
    <row r="40" customHeight="1" spans="1:3">
      <c r="A40" s="26">
        <v>26.9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  <row r="47" customHeight="1" spans="1:3">
      <c r="A47" s="26">
        <v>2000</v>
      </c>
      <c r="B47" s="27" t="s">
        <v>25</v>
      </c>
      <c r="C47" s="28" t="s">
        <v>161</v>
      </c>
    </row>
    <row r="48" customHeight="1" spans="1:3">
      <c r="A48" s="26">
        <v>915</v>
      </c>
      <c r="B48" s="2" t="s">
        <v>25</v>
      </c>
      <c r="C48" s="2" t="s">
        <v>162</v>
      </c>
    </row>
    <row r="49" customHeight="1" spans="1:3">
      <c r="A49" s="26">
        <v>601.92</v>
      </c>
      <c r="B49" s="2" t="s">
        <v>25</v>
      </c>
      <c r="C49" s="2" t="s">
        <v>112</v>
      </c>
    </row>
    <row r="50" customHeight="1" spans="1:3">
      <c r="A50" s="26">
        <v>200</v>
      </c>
      <c r="B50" s="2" t="s">
        <v>14</v>
      </c>
      <c r="C50" s="2" t="s">
        <v>163</v>
      </c>
    </row>
    <row r="51" customHeight="1" spans="1:3">
      <c r="A51" s="26">
        <v>678</v>
      </c>
      <c r="B51" s="2" t="s">
        <v>25</v>
      </c>
      <c r="C51" s="2" t="s">
        <v>164</v>
      </c>
    </row>
    <row r="52" customHeight="1" spans="1:3">
      <c r="A52" s="26">
        <v>6795</v>
      </c>
      <c r="B52" s="2" t="s">
        <v>25</v>
      </c>
      <c r="C52" s="2" t="s">
        <v>165</v>
      </c>
    </row>
    <row r="53" customHeight="1" spans="1:3">
      <c r="A53" s="26">
        <v>50</v>
      </c>
      <c r="B53" s="2" t="s">
        <v>14</v>
      </c>
      <c r="C53" s="2" t="s">
        <v>144</v>
      </c>
    </row>
    <row r="54" customHeight="1" spans="1:3">
      <c r="A54" s="26">
        <v>500</v>
      </c>
      <c r="B54" s="2" t="s">
        <v>25</v>
      </c>
      <c r="C54" s="2" t="s">
        <v>166</v>
      </c>
    </row>
    <row r="55" customHeight="1" spans="1:3">
      <c r="A55" s="26">
        <v>300</v>
      </c>
      <c r="B55" s="2" t="s">
        <v>32</v>
      </c>
      <c r="C55" s="2" t="s">
        <v>167</v>
      </c>
    </row>
    <row r="56" customHeight="1" spans="1:3">
      <c r="A56" s="26">
        <v>860</v>
      </c>
      <c r="B56" s="2" t="s">
        <v>25</v>
      </c>
      <c r="C56" s="2" t="s">
        <v>168</v>
      </c>
    </row>
    <row r="57" customHeight="1" spans="1:3">
      <c r="A57" s="26">
        <v>499</v>
      </c>
      <c r="B57" s="2" t="s">
        <v>14</v>
      </c>
      <c r="C57" s="2" t="s">
        <v>169</v>
      </c>
    </row>
    <row r="58" customHeight="1" spans="1:3">
      <c r="A58" s="26">
        <v>214.9</v>
      </c>
      <c r="B58" s="2" t="s">
        <v>25</v>
      </c>
      <c r="C58" s="2" t="s">
        <v>170</v>
      </c>
    </row>
    <row r="59" customHeight="1" spans="1:3">
      <c r="A59" s="26">
        <v>100</v>
      </c>
      <c r="B59" s="2" t="s">
        <v>32</v>
      </c>
      <c r="C59" s="2" t="s">
        <v>171</v>
      </c>
    </row>
    <row r="60" customHeight="1" spans="1:3">
      <c r="A60" s="26">
        <v>4282</v>
      </c>
      <c r="B60" s="2" t="s">
        <v>25</v>
      </c>
      <c r="C60" s="2" t="s">
        <v>172</v>
      </c>
    </row>
    <row r="61" customHeight="1" spans="1:3">
      <c r="A61" s="26">
        <v>38.92</v>
      </c>
      <c r="B61" s="2" t="s">
        <v>32</v>
      </c>
      <c r="C61" s="2" t="s">
        <v>173</v>
      </c>
    </row>
    <row r="62" customHeight="1" spans="1:3">
      <c r="A62" s="26">
        <v>38.3</v>
      </c>
      <c r="B62" s="2" t="s">
        <v>25</v>
      </c>
      <c r="C62" s="2" t="s">
        <v>174</v>
      </c>
    </row>
    <row r="63" customHeight="1" spans="1:3">
      <c r="A63" s="26">
        <v>38.1</v>
      </c>
      <c r="B63" s="2" t="s">
        <v>25</v>
      </c>
      <c r="C63" s="2" t="s">
        <v>175</v>
      </c>
    </row>
    <row r="64" customHeight="1" spans="1:3">
      <c r="A64" s="26">
        <v>635</v>
      </c>
      <c r="B64" s="2" t="s">
        <v>25</v>
      </c>
      <c r="C64" s="2" t="s">
        <v>166</v>
      </c>
    </row>
    <row r="65" customHeight="1" spans="1:3">
      <c r="A65" s="26">
        <v>482</v>
      </c>
      <c r="B65" s="2" t="s">
        <v>25</v>
      </c>
      <c r="C65" s="2" t="s">
        <v>168</v>
      </c>
    </row>
    <row r="66" customHeight="1" spans="1:3">
      <c r="A66" s="26">
        <v>100</v>
      </c>
      <c r="B66" s="2" t="s">
        <v>32</v>
      </c>
      <c r="C66" s="2" t="s">
        <v>111</v>
      </c>
    </row>
    <row r="67" customHeight="1" spans="1:3">
      <c r="A67" s="26">
        <v>291.46</v>
      </c>
      <c r="B67" s="2" t="s">
        <v>25</v>
      </c>
      <c r="C67" s="2" t="s">
        <v>176</v>
      </c>
    </row>
    <row r="68" customHeight="1" spans="1:3">
      <c r="A68" s="26">
        <v>296.64</v>
      </c>
      <c r="B68" s="2" t="s">
        <v>25</v>
      </c>
      <c r="C68" s="2" t="s">
        <v>176</v>
      </c>
    </row>
    <row r="69" customHeight="1" spans="1:3">
      <c r="A69" s="26">
        <v>18.25</v>
      </c>
      <c r="B69" s="2" t="s">
        <v>32</v>
      </c>
      <c r="C69" s="2" t="s">
        <v>173</v>
      </c>
    </row>
    <row r="70" customHeight="1" spans="1:3">
      <c r="A70" s="26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4"/>
  <sheetViews>
    <sheetView topLeftCell="A3" workbookViewId="0">
      <selection activeCell="D50" sqref="D5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SUM(收入明细260410_12[收入明细])</f>
        <v>0</v>
      </c>
      <c r="C3" s="6" t="s">
        <v>49</v>
      </c>
    </row>
    <row r="4" customHeight="1" spans="1:3">
      <c r="A4" s="8" t="s">
        <v>50</v>
      </c>
      <c r="B4" s="9">
        <f>SUM(支出明细26049_11[支出明细])</f>
        <v>30770.59</v>
      </c>
      <c r="C4" s="8" t="s">
        <v>49</v>
      </c>
    </row>
    <row r="5" customHeight="1" spans="1:3">
      <c r="A5" s="10" t="s">
        <v>51</v>
      </c>
      <c r="B5" s="11">
        <f>$B$3-SUMIF(支出明细26049_11[分类],"食材",支出明细26049_11[支出明细])</f>
        <v>-9707.59</v>
      </c>
      <c r="C5" s="10" t="s">
        <v>49</v>
      </c>
    </row>
    <row r="6" customHeight="1" spans="1:3">
      <c r="A6" s="10" t="s">
        <v>52</v>
      </c>
      <c r="B6" s="11">
        <f>$B$3-$B$4</f>
        <v>-30770.59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SUMIF(收入明细260410_12[分类],"淘宝外卖",收入明细260410_12[收入明细])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SUMIF(收入明细260410_12[分类],"美团外卖",收入明细260410_12[收入明细])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SUMIF(收入明细260410_12[分类],"抖音来客",收入明细260410_12[收入明细])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SUMIF(收入明细260410_12[分类],"微信堂食",收入明细260410_12[收入明细])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SUMIF(收入明细260410_12[分类],"支付宝堂食",收入明细260410_12[收入明细])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SUMIF(收入明细260410_12[分类],"京东外卖",收入明细260410_12[收入明细])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SUMIF(支出明细26049_11[分类],"食材",支出明细26049_11[支出明细])</f>
        <v>9707.59</v>
      </c>
      <c r="C24" s="12">
        <f>$B$24/$B$4</f>
        <v>0.315482738550025</v>
      </c>
    </row>
    <row r="25" customHeight="1" spans="1:3">
      <c r="A25" s="10" t="s">
        <v>68</v>
      </c>
      <c r="B25" s="11">
        <f>SUMIF(支出明细26049_11[分类],"工资",支出明细26049_11[支出明细])</f>
        <v>12000</v>
      </c>
      <c r="C25" s="12">
        <f>$B$25/$B$4</f>
        <v>0.389982772511024</v>
      </c>
    </row>
    <row r="26" customHeight="1" spans="1:3">
      <c r="A26" s="10" t="s">
        <v>6</v>
      </c>
      <c r="B26" s="11">
        <f>SUMIF(支出明细26049_11[分类],"房租",支出明细26049_11[支出明细])</f>
        <v>4333</v>
      </c>
      <c r="C26" s="12">
        <f>$B$26/$B$4</f>
        <v>0.140816279440856</v>
      </c>
    </row>
    <row r="27" customHeight="1" spans="1:3">
      <c r="A27" s="10" t="s">
        <v>32</v>
      </c>
      <c r="B27" s="11">
        <f>SUMIF(支出明细26049_11[分类],"推广",支出明细26049_11[支出明细])</f>
        <v>1230</v>
      </c>
      <c r="C27" s="12">
        <f>$B$27/$B$4</f>
        <v>0.03997323418238</v>
      </c>
    </row>
    <row r="28" customHeight="1" spans="1:3">
      <c r="A28" s="10" t="s">
        <v>37</v>
      </c>
      <c r="B28" s="11">
        <f>SUMIF(支出明细26049_11[分类],"水电",支出明细26049_11[支出明细])</f>
        <v>3500</v>
      </c>
      <c r="C28" s="12">
        <f>$B$28/$B$4</f>
        <v>0.113744975315715</v>
      </c>
    </row>
    <row r="29" customHeight="1" spans="1:3">
      <c r="A29" s="10" t="s">
        <v>14</v>
      </c>
      <c r="B29" s="11">
        <f>SUMIF(支出明细26049_11[分类],"其他",支出明细26049_11[支出明细])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30770.59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  <row r="47" customHeight="1" spans="1:3">
      <c r="A47" s="26">
        <v>423</v>
      </c>
      <c r="B47" s="2" t="s">
        <v>25</v>
      </c>
      <c r="C47" s="2" t="s">
        <v>177</v>
      </c>
    </row>
    <row r="48" customHeight="1" spans="1:3">
      <c r="A48" s="26">
        <v>130</v>
      </c>
      <c r="B48" s="2" t="s">
        <v>25</v>
      </c>
      <c r="C48" s="2" t="s">
        <v>177</v>
      </c>
    </row>
    <row r="49" customHeight="1" spans="1:3">
      <c r="A49" s="26">
        <v>465</v>
      </c>
      <c r="B49" s="2" t="s">
        <v>25</v>
      </c>
      <c r="C49" s="2" t="s">
        <v>178</v>
      </c>
    </row>
    <row r="50" customHeight="1" spans="1:3">
      <c r="A50" s="26">
        <v>6586</v>
      </c>
      <c r="B50" s="2" t="s">
        <v>25</v>
      </c>
      <c r="C50" s="2" t="s">
        <v>179</v>
      </c>
    </row>
    <row r="51" customHeight="1" spans="1:3">
      <c r="A51" s="26">
        <v>103.59</v>
      </c>
      <c r="B51" s="2" t="s">
        <v>25</v>
      </c>
      <c r="C51" s="2" t="s">
        <v>180</v>
      </c>
    </row>
    <row r="52" customHeight="1" spans="1:3">
      <c r="A52" s="26">
        <v>1230</v>
      </c>
      <c r="B52" s="2" t="s">
        <v>32</v>
      </c>
      <c r="C52" s="2" t="s">
        <v>181</v>
      </c>
    </row>
    <row r="53" customHeight="1" spans="1:3">
      <c r="A53" s="26">
        <v>2000</v>
      </c>
      <c r="B53" s="2" t="s">
        <v>25</v>
      </c>
      <c r="C53" s="2" t="s">
        <v>26</v>
      </c>
    </row>
    <row r="54" customHeight="1" spans="1:1">
      <c r="A54" s="26"/>
    </row>
    <row r="55" customHeight="1" spans="1:1">
      <c r="A55" s="26"/>
    </row>
    <row r="56" customHeight="1" spans="1:1">
      <c r="A56" s="26"/>
    </row>
    <row r="57" customHeight="1" spans="1:1">
      <c r="A57" s="26"/>
    </row>
    <row r="58" customHeight="1" spans="1:1">
      <c r="A58" s="26"/>
    </row>
    <row r="59" customHeight="1" spans="1:1">
      <c r="A59" s="26"/>
    </row>
    <row r="60" customHeight="1" spans="1:1">
      <c r="A60" s="26"/>
    </row>
    <row r="61" customHeight="1" spans="1:1">
      <c r="A61" s="26"/>
    </row>
    <row r="62" customHeight="1" spans="1:1">
      <c r="A62" s="26"/>
    </row>
    <row r="63" customHeight="1" spans="1:1">
      <c r="A63" s="26"/>
    </row>
    <row r="64" customHeight="1" spans="1:1">
      <c r="A64" s="26"/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19" workbookViewId="0">
      <selection activeCell="E38" sqref="E3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SUM(收入明细260410_1220[收入明细])</f>
        <v>0</v>
      </c>
      <c r="C3" s="6" t="s">
        <v>49</v>
      </c>
    </row>
    <row r="4" customHeight="1" spans="1:3">
      <c r="A4" s="8" t="s">
        <v>50</v>
      </c>
      <c r="B4" s="9">
        <f>SUM(支出明细26049_1119[支出明细])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$B$3-SUMIF(支出明细26049_1119[分类],"食材",支出明细26049_1119[支出明细])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SUMIF(收入明细260410_1220[分类],"淘宝外卖",收入明细260410_1220[收入明细])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SUMIF(收入明细260410_1220[分类],"美团外卖",收入明细260410_1220[收入明细])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SUMIF(收入明细260410_1220[分类],"抖音来客",收入明细260410_1220[收入明细])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SUMIF(收入明细260410_1220[分类],"微信堂食",收入明细260410_1220[收入明细])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SUMIF(收入明细260410_1220[分类],"支付宝堂食",收入明细260410_1220[收入明细])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SUMIF(收入明细260410_1220[分类],"京东外卖",收入明细260410_1220[收入明细])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SUMIF(支出明细26049_1119[分类],"食材",支出明细26049_1119[支出明细])</f>
        <v>0</v>
      </c>
      <c r="C24" s="12">
        <f>$B$24/$B$4</f>
        <v>0</v>
      </c>
    </row>
    <row r="25" customHeight="1" spans="1:3">
      <c r="A25" s="10" t="s">
        <v>68</v>
      </c>
      <c r="B25" s="11">
        <f>SUMIF(支出明细26049_1119[分类],"工资",支出明细26049_1119[支出明细])</f>
        <v>12000</v>
      </c>
      <c r="C25" s="12">
        <f>$B$25/$B$4</f>
        <v>0.605052185751021</v>
      </c>
    </row>
    <row r="26" customHeight="1" spans="1:3">
      <c r="A26" s="10" t="s">
        <v>6</v>
      </c>
      <c r="B26" s="11">
        <f>SUMIF(支出明细26049_1119[分类],"房租",支出明细26049_1119[支出明细])</f>
        <v>4333</v>
      </c>
      <c r="C26" s="12">
        <f>$B$26/$B$4</f>
        <v>0.218474260071598</v>
      </c>
    </row>
    <row r="27" customHeight="1" spans="1:3">
      <c r="A27" s="10" t="s">
        <v>32</v>
      </c>
      <c r="B27" s="11">
        <f>SUMIF(支出明细26049_1119[分类],"推广",支出明细26049_1119[支出明细])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SUMIF(支出明细26049_1119[分类],"水电",支出明细26049_1119[支出明细])</f>
        <v>3500</v>
      </c>
      <c r="C28" s="12">
        <f>$B$28/$B$4</f>
        <v>0.176473554177381</v>
      </c>
    </row>
    <row r="29" customHeight="1" spans="1:3">
      <c r="A29" s="10" t="s">
        <v>14</v>
      </c>
      <c r="B29" s="11">
        <f>SUMIF(支出明细26049_1119[分类],"其他",支出明细26049_1119[支出明细])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19833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2026-03-03T11:28:00Z</dcterms:created>
  <dcterms:modified xsi:type="dcterms:W3CDTF">2026-06-01T10:21:34Z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