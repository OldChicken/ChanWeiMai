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firstSheet="1" activeTab="1"/>
  </bookViews>
  <sheets>
    <sheet name="开店成本清单" sheetId="1" r:id="rId1"/>
    <sheet name="2026-02流水 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<sst xmlns="http://schemas.openxmlformats.org/spreadsheetml/2006/main" count="340" uniqueCount="135">
  <si>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</si>
  <si>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</si>
  <si>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</si>
  <si>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</si>
  <si>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</si>
  <si>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</si>
  <si>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</si>
  <si>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</si>
  <si>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</si>
  <si>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</si>
  <si>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</si>
  <si>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</si>
  <si>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</si>
  <si>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</si>
  <si>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</si>
  <si>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</si>
  <si>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</si>
  <si>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</si>
  <si>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</si>
  <si>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</si>
  <si>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</si>
  <si>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</si>
  <si>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</si>
  <si>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</si>
  <si>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</si>
  <si>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</si>
  <si>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</si>
  <si>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</si>
  <si>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</si>
  <si>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</si>
  <si>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</si>
  <si>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</si>
  <si>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</si>
  <si>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</si>
  <si>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</si>
  <si>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</si>
  <si>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</si>
  <si>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</si>
  <si>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</si>
  <si>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</si>
  <si>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</si>
  <si>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</si>
  <si>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</si>
  <si>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支出明细</t>
  </si>
  <si>
    <t>月租金</t>
  </si>
  <si>
    <t>工资</t>
  </si>
  <si>
    <t>员工工资</t>
  </si>
  <si>
    <t>老池自购食材</t>
  </si>
  <si>
    <t>收入明细</t>
  </si>
  <si>
    <t>微信堂食</t>
  </si>
  <si>
    <t>支付宝堂食</t>
  </si>
  <si>
    <t>京东外卖</t>
  </si>
  <si>
    <t>淘宝外卖</t>
  </si>
  <si>
    <t>美团外卖</t>
  </si>
  <si>
    <t>汇总统计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</si>
  <si>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</si>
  <si>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</si>
  <si>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</si>
  <si>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</si>
  <si>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</si>
  <si>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</si>
  <si>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</si>
  <si>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</si>
  <si>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</si>
  <si>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</si>
  <si>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</si>
  <si>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</si>
  <si>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</si>
  <si>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</si>
  <si>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</si>
  <si>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合计</t>
  </si>
  <si>
    <t>支出统计</t>
  </si>
  <si>
    <t>类别</t>
  </si>
  <si>
    <t>支出合计</t>
  </si>
  <si>
    <t>收入合计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</si>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</sst>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176" formatCode="#,##0.00_ "/>
    <numFmt numFmtId="177" formatCode="0.00_);[Red]\(0.00\)"/>
    <numFmt numFmtId="178" formatCode="0.00_ ;[Red]\-0.00\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  <numFmt numFmtId="42" formatCode="_ &quot;￥&quot;* #,##0_ ;_ &quot;￥&quot;* \-#,##0_ ;_ &quot;￥&quot;* &quot;-&quot;_ ;_ @_ "/>
  </numFmts>
  <fonts count="27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i/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name val="宋体"/>
      <charset val="134"/>
      <scheme val="minor"/>
    </font>
    <font>
      <b/>
      <sz val="10"/>
      <color rgb="FFFFFFFF"/>
      <name val="宋体"/>
      <charset val="134"/>
      <scheme val="minor"/>
    </font>
    <font>
      <sz val="9"/>
      <name val="宋体"/>
      <charset val="134"/>
      <scheme val="minor"/>
    </font>
    <font>
      <b/>
      <sz val="9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8"/>
        <bgColor rgb="FF70AD47"/>
      </patternFill>
    </fill>
    <fill>
      <patternFill patternType="solid">
        <fgColor theme="8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70AD47"/>
        <bgColor rgb="FF70AD47"/>
      </patternFill>
    </fill>
    <fill>
      <patternFill patternType="solid">
        <fgColor rgb="FF5B9BD5"/>
        <bgColor rgb="FF5B9BD5"/>
      </patternFill>
    </fill>
    <fill>
      <patternFill patternType="solid">
        <fgColor rgb="FFE2EFDA"/>
        <bgColor rgb="FFE2EFDA"/>
      </patternFill>
    </fill>
    <fill>
      <patternFill patternType="solid">
        <fgColor rgb="FFC5504F"/>
        <bgColor rgb="FFC5504F"/>
      </patternFill>
    </fill>
    <fill>
      <patternFill patternType="solid">
        <fgColor rgb="FFF4CCCC"/>
        <bgColor rgb="FFF4CCCC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C9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10" fillId="40" borderId="0">
      <alignment vertical="center"/>
    </xf>
    <xf numFmtId="0" fontId="8" fillId="39" borderId="0">
      <alignment vertical="center"/>
    </xf>
    <xf numFmtId="0" fontId="10" fillId="28" borderId="0">
      <alignment vertical="center"/>
    </xf>
    <xf numFmtId="0" fontId="26" fillId="41" borderId="7">
      <alignment vertical="center"/>
    </xf>
    <xf numFmtId="0" fontId="8" fillId="38" borderId="0">
      <alignment vertical="center"/>
    </xf>
    <xf numFmtId="0" fontId="8" fillId="37" borderId="0">
      <alignment vertical="center"/>
    </xf>
    <xf numFmtId="44" fontId="0" fillId="0" borderId="0">
      <alignment vertical="center"/>
    </xf>
    <xf numFmtId="0" fontId="10" fillId="32" borderId="0">
      <alignment vertical="center"/>
    </xf>
    <xf numFmtId="9" fontId="0" fillId="0" borderId="0">
      <alignment vertical="center"/>
    </xf>
    <xf numFmtId="0" fontId="10" fillId="30" borderId="0">
      <alignment vertical="center"/>
    </xf>
    <xf numFmtId="0" fontId="10" fillId="36" borderId="0">
      <alignment vertical="center"/>
    </xf>
    <xf numFmtId="0" fontId="10" fillId="35" borderId="0">
      <alignment vertical="center"/>
    </xf>
    <xf numFmtId="0" fontId="10" fillId="31" borderId="0">
      <alignment vertical="center"/>
    </xf>
    <xf numFmtId="0" fontId="10" fillId="16" borderId="0">
      <alignment vertical="center"/>
    </xf>
    <xf numFmtId="0" fontId="23" fillId="23" borderId="7">
      <alignment vertical="center"/>
    </xf>
    <xf numFmtId="0" fontId="10" fillId="22" borderId="0">
      <alignment vertical="center"/>
    </xf>
    <xf numFmtId="0" fontId="21" fillId="29" borderId="0">
      <alignment vertical="center"/>
    </xf>
    <xf numFmtId="0" fontId="8" fillId="33" borderId="0">
      <alignment vertical="center"/>
    </xf>
    <xf numFmtId="0" fontId="20" fillId="27" borderId="0">
      <alignment vertical="center"/>
    </xf>
    <xf numFmtId="0" fontId="8" fillId="20" borderId="0">
      <alignment vertical="center"/>
    </xf>
    <xf numFmtId="0" fontId="25" fillId="0" borderId="9">
      <alignment vertical="center"/>
    </xf>
    <xf numFmtId="0" fontId="14" fillId="19" borderId="0">
      <alignment vertical="center"/>
    </xf>
    <xf numFmtId="0" fontId="18" fillId="26" borderId="6">
      <alignment vertical="center"/>
    </xf>
    <xf numFmtId="0" fontId="16" fillId="23" borderId="5">
      <alignment vertical="center"/>
    </xf>
    <xf numFmtId="0" fontId="17" fillId="0" borderId="4">
      <alignment vertical="center"/>
    </xf>
    <xf numFmtId="0" fontId="15" fillId="0" borderId="0">
      <alignment vertical="center"/>
    </xf>
    <xf numFmtId="0" fontId="8" fillId="21" borderId="0">
      <alignment vertical="center"/>
    </xf>
    <xf numFmtId="0" fontId="9" fillId="0" borderId="0">
      <alignment vertical="center"/>
    </xf>
    <xf numFmtId="42" fontId="0" fillId="0" borderId="0">
      <alignment vertical="center"/>
    </xf>
    <xf numFmtId="0" fontId="8" fillId="25" borderId="0">
      <alignment vertical="center"/>
    </xf>
    <xf numFmtId="43" fontId="0" fillId="0" borderId="0">
      <alignment vertical="center"/>
    </xf>
    <xf numFmtId="0" fontId="13" fillId="0" borderId="0">
      <alignment vertical="center"/>
    </xf>
    <xf numFmtId="0" fontId="22" fillId="0" borderId="0">
      <alignment vertical="center"/>
    </xf>
    <xf numFmtId="0" fontId="8" fillId="18" borderId="0">
      <alignment vertical="center"/>
    </xf>
    <xf numFmtId="0" fontId="11" fillId="0" borderId="0">
      <alignment vertical="center"/>
    </xf>
    <xf numFmtId="0" fontId="10" fillId="17" borderId="0">
      <alignment vertical="center"/>
    </xf>
    <xf numFmtId="0" fontId="0" fillId="15" borderId="3">
      <alignment vertical="center"/>
    </xf>
    <xf numFmtId="0" fontId="8" fillId="13" borderId="0">
      <alignment vertical="center"/>
    </xf>
    <xf numFmtId="0" fontId="10" fillId="34" borderId="0">
      <alignment vertical="center"/>
    </xf>
    <xf numFmtId="0" fontId="8" fillId="14" borderId="0">
      <alignment vertical="center"/>
    </xf>
    <xf numFmtId="0" fontId="19" fillId="0" borderId="0">
      <alignment vertical="center"/>
    </xf>
    <xf numFmtId="41" fontId="0" fillId="0" borderId="0">
      <alignment vertical="center"/>
    </xf>
    <xf numFmtId="0" fontId="12" fillId="0" borderId="4">
      <alignment vertical="center"/>
    </xf>
    <xf numFmtId="0" fontId="8" fillId="12" borderId="0">
      <alignment vertical="center"/>
    </xf>
    <xf numFmtId="0" fontId="9" fillId="0" borderId="2">
      <alignment vertical="center"/>
    </xf>
    <xf numFmtId="0" fontId="10" fillId="24" borderId="0">
      <alignment vertical="center"/>
    </xf>
    <xf numFmtId="0" fontId="8" fillId="11" borderId="0">
      <alignment vertical="center"/>
    </xf>
    <xf numFmtId="0" fontId="24" fillId="0" borderId="8">
      <alignment vertical="center"/>
    </xf>
  </cellStyleXfs>
  <cellXfs count="37">
    <xf numFmtId="0" fontId="0" fillId="0" borderId="0" xfId="0"/>
    <xf numFmtId="178" fontId="0" fillId="0" borderId="0" xfId="0" applyNumberFormat="1"/>
    <xf numFmtId="178" fontId="0" fillId="0" borderId="0" xfId="0" applyNumberFormat="1" applyAlignment="1">
      <alignment horizontal="left"/>
    </xf>
    <xf numFmtId="177" fontId="0" fillId="0" borderId="0" xfId="0" applyNumberFormat="1"/>
    <xf numFmtId="4" fontId="0" fillId="0" borderId="0" xfId="0" applyNumberFormat="1" applyAlignment="1">
      <alignment horizontal="left"/>
    </xf>
    <xf numFmtId="178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2" fillId="0" borderId="0" xfId="0" applyFont="1"/>
    <xf numFmtId="3" fontId="0" fillId="0" borderId="0" xfId="0" applyNumberFormat="1" applyAlignment="1">
      <alignment horizontal="left"/>
    </xf>
    <xf numFmtId="177" fontId="0" fillId="0" borderId="0" xfId="0" applyNumberFormat="1" applyAlignment="1">
      <alignment horizontal="left"/>
    </xf>
    <xf numFmtId="176" fontId="1" fillId="0" borderId="0" xfId="0" applyNumberFormat="1" applyFont="1" applyAlignment="1">
      <alignment horizontal="left"/>
    </xf>
    <xf numFmtId="177" fontId="1" fillId="0" borderId="0" xfId="0" applyNumberFormat="1" applyFont="1" applyAlignment="1">
      <alignment horizontal="left"/>
    </xf>
    <xf numFmtId="0" fontId="3" fillId="2" borderId="0" xfId="0" applyFont="1" applyFill="1" applyAlignment="1">
      <alignment horizontal="center" vertical="center"/>
    </xf>
    <xf numFmtId="0" fontId="0" fillId="3" borderId="0" xfId="0" applyFill="1"/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10" fontId="4" fillId="5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10" fontId="6" fillId="0" borderId="1" xfId="0" applyNumberFormat="1" applyFont="1" applyBorder="1" applyAlignment="1">
      <alignment horizontal="center"/>
    </xf>
    <xf numFmtId="0" fontId="7" fillId="8" borderId="1" xfId="0" applyFont="1" applyFill="1" applyBorder="1" applyAlignment="1">
      <alignment horizontal="center"/>
    </xf>
    <xf numFmtId="2" fontId="7" fillId="8" borderId="1" xfId="0" applyNumberFormat="1" applyFont="1" applyFill="1" applyBorder="1" applyAlignment="1">
      <alignment horizontal="center"/>
    </xf>
    <xf numFmtId="10" fontId="7" fillId="8" borderId="1" xfId="0" applyNumberFormat="1" applyFont="1" applyFill="1" applyBorder="1" applyAlignment="1">
      <alignment horizontal="center"/>
    </xf>
    <xf numFmtId="0" fontId="3" fillId="9" borderId="0" xfId="0" applyFont="1" applyFill="1" applyAlignment="1">
      <alignment horizontal="center" vertical="center"/>
    </xf>
    <xf numFmtId="0" fontId="7" fillId="10" borderId="1" xfId="0" applyFont="1" applyFill="1" applyBorder="1" applyAlignment="1">
      <alignment horizontal="center"/>
    </xf>
    <xf numFmtId="2" fontId="7" fillId="10" borderId="1" xfId="0" applyNumberFormat="1" applyFont="1" applyFill="1" applyBorder="1" applyAlignment="1">
      <alignment horizontal="center"/>
    </xf>
    <xf numFmtId="10" fontId="7" fillId="10" borderId="1" xfId="0" applyNumberFormat="1" applyFont="1" applyFill="1" applyBorder="1" applyAlignment="1">
      <alignment horizontal="center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strike val="0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  <numFmt numFmtId="176" formatCode="#,##0.00_ "/>
      <alignment horizontal="left"/>
    </dxf>
    <dxf>
      <font>
        <name val="宋体"/>
        <scheme val="none"/>
        <charset val="134"/>
        <strike val="0"/>
        <sz val="11"/>
        <color theme="1"/>
      </font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strike val="0"/>
        <sz val="11"/>
        <color theme="1"/>
      </font>
      <numFmt numFmtId="178" formatCode="0.00_ ;[Red]\-0.00\ "/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24:C29" totalsRowShown="0">
  <autoFilter ref="A24:C29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1:C20" totalsRowShown="0">
  <autoFilter ref="A1:C2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收入明细2603" displayName="收入明细2603" ref="A75:C81" totalsRowShown="0">
  <autoFilter ref="A75:C81"/>
  <tableColumns count="3">
    <tableColumn id="1" name="收入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支出明细2603" displayName="支出明细2603" ref="A6:C71" totalsRowShown="0">
  <autoFilter ref="A6:C71"/>
  <tableColumns count="3">
    <tableColumn id="2" name="支出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收入明细2604" displayName="收入明细2604" ref="A16:C22" totalsRowShown="0">
  <autoFilter ref="A16:C22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支出明细2604" displayName="支出明细2604" ref="A6:C12" totalsRowShown="0">
  <autoFilter ref="A6:C1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A9" sqref="A9"/>
    </sheetView>
  </sheetViews>
  <sheetFormatPr defaultColWidth="9" defaultRowHeight="16.8" outlineLevelCol="2"/>
  <cols>
    <col min="1" max="1" width="23.75" style="12" customWidth="1"/>
    <col min="2" max="2" width="20.375" customWidth="1"/>
    <col min="3" max="3" width="37.25" style="34" customWidth="1"/>
  </cols>
  <sheetData>
    <row r="1" ht="15" customHeight="1" spans="1:3">
      <c r="A1" s="12" t="s">
        <v>0</v>
      </c>
      <c r="C1" s="9">
        <v>100000</v>
      </c>
    </row>
    <row r="2" ht="15" customHeight="1" spans="1:3">
      <c r="A2" s="12" t="s">
        <v>1</v>
      </c>
      <c r="C2" s="10">
        <f>SUM(成本明细[金额(元)])</f>
        <v>99761.38</v>
      </c>
    </row>
    <row r="3" ht="15" customHeight="1" spans="1:3">
      <c r="A3" s="12" t="s">
        <v>2</v>
      </c>
      <c r="C3" s="10">
        <f>C1-C2</f>
        <v>238.619999999981</v>
      </c>
    </row>
    <row r="4" ht="15" customHeight="1"/>
    <row r="5" ht="15" customHeight="1" spans="1:3">
      <c r="A5" s="12" t="s">
        <v>3</v>
      </c>
      <c r="B5" s="7" t="s">
        <v>4</v>
      </c>
      <c r="C5" s="4" t="s">
        <v>5</v>
      </c>
    </row>
    <row r="6" ht="15" customHeight="1" spans="1:3">
      <c r="A6" s="13">
        <v>10000</v>
      </c>
      <c r="B6" t="s">
        <v>6</v>
      </c>
      <c r="C6" s="4" t="s">
        <v>7</v>
      </c>
    </row>
    <row r="7" ht="15" customHeight="1" spans="1:3">
      <c r="A7" s="13">
        <v>26000</v>
      </c>
      <c r="B7" t="s">
        <v>6</v>
      </c>
      <c r="C7" s="4" t="s">
        <v>8</v>
      </c>
    </row>
    <row r="8" ht="15" customHeight="1" spans="1:3">
      <c r="A8" s="13">
        <v>6000</v>
      </c>
      <c r="B8" t="s">
        <v>9</v>
      </c>
      <c r="C8" s="4" t="s">
        <v>10</v>
      </c>
    </row>
    <row r="9" ht="15" customHeight="1" spans="1:3">
      <c r="A9" s="13">
        <v>3000</v>
      </c>
      <c r="B9" t="s">
        <v>9</v>
      </c>
      <c r="C9" s="4" t="s">
        <v>11</v>
      </c>
    </row>
    <row r="10" ht="15" customHeight="1" spans="1:3">
      <c r="A10" s="13">
        <v>2100</v>
      </c>
      <c r="B10" t="s">
        <v>9</v>
      </c>
      <c r="C10" s="4" t="s">
        <v>12</v>
      </c>
    </row>
    <row r="11" ht="15" customHeight="1" spans="1:3">
      <c r="A11" s="13">
        <v>340</v>
      </c>
      <c r="B11" t="s">
        <v>9</v>
      </c>
      <c r="C11" s="4" t="s">
        <v>13</v>
      </c>
    </row>
    <row r="12" ht="15" customHeight="1" spans="1:3">
      <c r="A12" s="13">
        <v>200</v>
      </c>
      <c r="B12" t="s">
        <v>14</v>
      </c>
      <c r="C12" s="4" t="s">
        <v>15</v>
      </c>
    </row>
    <row r="13" ht="15" customHeight="1" spans="1:3">
      <c r="A13" s="13">
        <v>11000</v>
      </c>
      <c r="B13" t="s">
        <v>16</v>
      </c>
      <c r="C13" s="4" t="s">
        <v>17</v>
      </c>
    </row>
    <row r="14" ht="15" customHeight="1" spans="1:3">
      <c r="A14" s="13">
        <v>5000</v>
      </c>
      <c r="B14" t="s">
        <v>9</v>
      </c>
      <c r="C14" s="4" t="s">
        <v>18</v>
      </c>
    </row>
    <row r="15" ht="15" customHeight="1" spans="1:3">
      <c r="A15" s="13">
        <v>755</v>
      </c>
      <c r="B15" t="s">
        <v>16</v>
      </c>
      <c r="C15" s="4" t="s">
        <v>19</v>
      </c>
    </row>
    <row r="16" ht="15" customHeight="1" spans="1:3">
      <c r="A16" s="13">
        <v>190</v>
      </c>
      <c r="B16" t="s">
        <v>9</v>
      </c>
      <c r="C16" s="4" t="s">
        <v>20</v>
      </c>
    </row>
    <row r="17" ht="15" customHeight="1" spans="1:3">
      <c r="A17" s="13">
        <v>405.9</v>
      </c>
      <c r="B17" t="s">
        <v>16</v>
      </c>
      <c r="C17" s="4" t="s">
        <v>21</v>
      </c>
    </row>
    <row r="18" ht="15" customHeight="1" spans="1:3">
      <c r="A18" s="13">
        <v>228</v>
      </c>
      <c r="B18" t="s">
        <v>16</v>
      </c>
      <c r="C18" s="4" t="s">
        <v>22</v>
      </c>
    </row>
    <row r="19" ht="15" customHeight="1" spans="1:3">
      <c r="A19" s="13">
        <v>639.5</v>
      </c>
      <c r="B19" t="s">
        <v>16</v>
      </c>
      <c r="C19" s="4" t="s">
        <v>23</v>
      </c>
    </row>
    <row r="20" ht="15" customHeight="1" spans="1:3">
      <c r="A20" s="13">
        <v>1259.1</v>
      </c>
      <c r="B20" t="s">
        <v>16</v>
      </c>
      <c r="C20" s="4" t="s">
        <v>24</v>
      </c>
    </row>
    <row r="21" ht="15" customHeight="1" spans="1:3">
      <c r="A21" s="13">
        <v>1000</v>
      </c>
      <c r="B21" t="s">
        <v>25</v>
      </c>
      <c r="C21" s="34" t="s">
        <v>26</v>
      </c>
    </row>
    <row r="22" ht="15" customHeight="1" spans="1:3">
      <c r="A22" s="13">
        <v>13260</v>
      </c>
      <c r="B22" t="s">
        <v>25</v>
      </c>
      <c r="C22" s="4" t="s">
        <v>27</v>
      </c>
    </row>
    <row r="23" ht="15" customHeight="1" spans="1:3">
      <c r="A23" s="13">
        <v>47.97</v>
      </c>
      <c r="B23" t="s">
        <v>14</v>
      </c>
      <c r="C23" s="4" t="s">
        <v>28</v>
      </c>
    </row>
    <row r="24" ht="15" customHeight="1" spans="1:3">
      <c r="A24" s="13">
        <v>276.1</v>
      </c>
      <c r="B24" t="s">
        <v>14</v>
      </c>
      <c r="C24" s="4" t="s">
        <v>29</v>
      </c>
    </row>
    <row r="25" ht="15" customHeight="1" spans="1:3">
      <c r="A25" s="13">
        <v>6000</v>
      </c>
      <c r="B25" t="s">
        <v>9</v>
      </c>
      <c r="C25" s="34" t="s">
        <v>30</v>
      </c>
    </row>
    <row r="26" ht="15" customHeight="1" spans="1:3">
      <c r="A26" s="13">
        <v>640</v>
      </c>
      <c r="B26" t="s">
        <v>9</v>
      </c>
      <c r="C26" s="34" t="s">
        <v>31</v>
      </c>
    </row>
    <row r="27" ht="15" customHeight="1" spans="1:3">
      <c r="A27" s="13">
        <v>500</v>
      </c>
      <c r="B27" t="s">
        <v>32</v>
      </c>
      <c r="C27" s="34" t="s">
        <v>33</v>
      </c>
    </row>
    <row r="28" ht="15" customHeight="1" spans="1:3">
      <c r="A28" s="13">
        <v>600</v>
      </c>
      <c r="B28" t="s">
        <v>32</v>
      </c>
      <c r="C28" s="34" t="s">
        <v>34</v>
      </c>
    </row>
    <row r="29" ht="15" customHeight="1" spans="1:3">
      <c r="A29" s="13">
        <v>938</v>
      </c>
      <c r="B29" t="s">
        <v>25</v>
      </c>
      <c r="C29" s="34" t="s">
        <v>35</v>
      </c>
    </row>
    <row r="30" ht="15" customHeight="1" spans="1:3">
      <c r="A30" s="13">
        <v>1000</v>
      </c>
      <c r="B30" t="s">
        <v>25</v>
      </c>
      <c r="C30" s="34" t="s">
        <v>26</v>
      </c>
    </row>
    <row r="31" ht="15" customHeight="1" spans="1:3">
      <c r="A31" s="13">
        <v>60.5</v>
      </c>
      <c r="B31" t="s">
        <v>25</v>
      </c>
      <c r="C31" s="34" t="s">
        <v>36</v>
      </c>
    </row>
    <row r="32" ht="15" customHeight="1" spans="1:3">
      <c r="A32" s="13">
        <v>162.41</v>
      </c>
      <c r="B32" t="s">
        <v>37</v>
      </c>
      <c r="C32" s="34" t="s">
        <v>38</v>
      </c>
    </row>
    <row r="33" ht="15" customHeight="1" spans="1:3">
      <c r="A33" s="13">
        <v>42.16</v>
      </c>
      <c r="B33" t="s">
        <v>25</v>
      </c>
      <c r="C33" s="34" t="s">
        <v>35</v>
      </c>
    </row>
    <row r="34" ht="15" customHeight="1" spans="1:3">
      <c r="A34" s="13">
        <v>1000</v>
      </c>
      <c r="B34" t="s">
        <v>25</v>
      </c>
      <c r="C34" s="34" t="s">
        <v>26</v>
      </c>
    </row>
    <row r="35" ht="15" customHeight="1" spans="1:3">
      <c r="A35" s="15">
        <v>500</v>
      </c>
      <c r="B35" s="35" t="s">
        <v>9</v>
      </c>
      <c r="C35" s="36" t="s">
        <v>39</v>
      </c>
    </row>
    <row r="36" ht="15" customHeight="1" spans="1:3">
      <c r="A36" s="15">
        <v>1300</v>
      </c>
      <c r="B36" s="35" t="s">
        <v>25</v>
      </c>
      <c r="C36" s="36" t="s">
        <v>40</v>
      </c>
    </row>
    <row r="37" ht="15" customHeight="1" spans="1:3">
      <c r="A37" s="15">
        <v>253.84</v>
      </c>
      <c r="B37" s="35" t="s">
        <v>25</v>
      </c>
      <c r="C37" s="36" t="s">
        <v>36</v>
      </c>
    </row>
    <row r="38" ht="15" customHeight="1" spans="1:3">
      <c r="A38" s="15">
        <v>1000</v>
      </c>
      <c r="B38" s="35" t="s">
        <v>25</v>
      </c>
      <c r="C38" s="36" t="s">
        <v>26</v>
      </c>
    </row>
    <row r="39" ht="15" customHeight="1" spans="1:3">
      <c r="A39" s="15">
        <v>355.3</v>
      </c>
      <c r="B39" s="35" t="s">
        <v>25</v>
      </c>
      <c r="C39" s="36" t="s">
        <v>36</v>
      </c>
    </row>
    <row r="40" ht="15" customHeight="1" spans="1:3">
      <c r="A40" s="15">
        <v>3000</v>
      </c>
      <c r="B40" s="35" t="s">
        <v>25</v>
      </c>
      <c r="C40" s="36" t="s">
        <v>41</v>
      </c>
    </row>
    <row r="41" ht="15" customHeight="1" spans="1:3">
      <c r="A41" s="15">
        <v>174</v>
      </c>
      <c r="B41" s="35" t="s">
        <v>25</v>
      </c>
      <c r="C41" s="36" t="s">
        <v>36</v>
      </c>
    </row>
    <row r="42" ht="15" customHeight="1" spans="1:3">
      <c r="A42" s="15">
        <v>33.6</v>
      </c>
      <c r="B42" s="35" t="s">
        <v>14</v>
      </c>
      <c r="C42" s="36" t="s">
        <v>42</v>
      </c>
    </row>
    <row r="43" ht="15" customHeight="1" spans="1:3">
      <c r="A43" s="15">
        <v>500</v>
      </c>
      <c r="B43" s="35" t="s">
        <v>25</v>
      </c>
      <c r="C43" s="36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1"/>
  <sheetViews>
    <sheetView tabSelected="1" zoomScale="112" zoomScaleNormal="112" topLeftCell="A31" workbookViewId="0">
      <selection activeCell="A35" sqref="A35:C35"/>
    </sheetView>
  </sheetViews>
  <sheetFormatPr defaultColWidth="9" defaultRowHeight="15" customHeight="1" outlineLevelCol="2"/>
  <cols>
    <col min="1" max="1" width="27.3365384615385" customWidth="1"/>
    <col min="2" max="2" width="28.75" customWidth="1"/>
    <col min="3" max="3" width="31.0384615384615" customWidth="1"/>
    <col min="4" max="4" width="20" customWidth="1"/>
    <col min="5" max="5" width="12" customWidth="1"/>
    <col min="6" max="6" width="13" customWidth="1"/>
    <col min="7" max="7" width="12" customWidth="1"/>
  </cols>
  <sheetData>
    <row r="1" ht="22" customHeight="1" spans="1:3">
      <c r="A1" s="13" t="s">
        <v>43</v>
      </c>
      <c r="B1" s="4" t="s">
        <v>4</v>
      </c>
      <c r="C1" s="4" t="s">
        <v>5</v>
      </c>
    </row>
    <row r="2" ht="22" customHeight="1" spans="1:3">
      <c r="A2" s="13">
        <v>4333</v>
      </c>
      <c r="B2" s="4" t="s">
        <v>6</v>
      </c>
      <c r="C2" s="4" t="s">
        <v>44</v>
      </c>
    </row>
    <row r="3" ht="22" customHeight="1" spans="1:3">
      <c r="A3" s="13">
        <v>8500</v>
      </c>
      <c r="B3" s="4" t="s">
        <v>45</v>
      </c>
      <c r="C3" s="4" t="s">
        <v>46</v>
      </c>
    </row>
    <row r="4" ht="16.8" customHeight="1" spans="1:3">
      <c r="A4" s="13">
        <v>1000</v>
      </c>
      <c r="B4" s="4" t="s">
        <v>25</v>
      </c>
      <c r="C4" s="4" t="s">
        <v>26</v>
      </c>
    </row>
    <row r="5" ht="20" customHeight="1" spans="1:3">
      <c r="A5" s="13">
        <v>13260</v>
      </c>
      <c r="B5" s="4" t="s">
        <v>25</v>
      </c>
      <c r="C5" s="4" t="s">
        <v>27</v>
      </c>
    </row>
    <row r="6" ht="16.8" customHeight="1" spans="1:3">
      <c r="A6" s="13">
        <v>600</v>
      </c>
      <c r="B6" s="4" t="s">
        <v>32</v>
      </c>
      <c r="C6" s="4" t="s">
        <v>34</v>
      </c>
    </row>
    <row r="7" ht="16.8" customHeight="1" spans="1:3">
      <c r="A7" s="13">
        <v>938</v>
      </c>
      <c r="B7" s="4" t="s">
        <v>25</v>
      </c>
      <c r="C7" s="4" t="s">
        <v>35</v>
      </c>
    </row>
    <row r="8" ht="16.8" customHeight="1" spans="1:3">
      <c r="A8" s="13">
        <v>1000</v>
      </c>
      <c r="B8" s="4" t="s">
        <v>25</v>
      </c>
      <c r="C8" s="4" t="s">
        <v>26</v>
      </c>
    </row>
    <row r="9" ht="16.8" customHeight="1" spans="1:3">
      <c r="A9" s="13">
        <v>60.5</v>
      </c>
      <c r="B9" s="4" t="s">
        <v>25</v>
      </c>
      <c r="C9" s="4" t="s">
        <v>36</v>
      </c>
    </row>
    <row r="10" ht="16.8" customHeight="1" spans="1:3">
      <c r="A10" s="13">
        <v>162.41</v>
      </c>
      <c r="B10" s="4" t="s">
        <v>37</v>
      </c>
      <c r="C10" s="4" t="s">
        <v>38</v>
      </c>
    </row>
    <row r="11" ht="16.8" customHeight="1" spans="1:3">
      <c r="A11" s="13">
        <v>42.16</v>
      </c>
      <c r="B11" s="4" t="s">
        <v>25</v>
      </c>
      <c r="C11" s="4" t="s">
        <v>35</v>
      </c>
    </row>
    <row r="12" ht="16.8" customHeight="1" spans="1:3">
      <c r="A12" s="13">
        <v>1000</v>
      </c>
      <c r="B12" s="4" t="s">
        <v>25</v>
      </c>
      <c r="C12" s="4" t="s">
        <v>26</v>
      </c>
    </row>
    <row r="13" ht="16.8" customHeight="1" spans="1:3">
      <c r="A13" s="15">
        <v>1300</v>
      </c>
      <c r="B13" s="6" t="s">
        <v>25</v>
      </c>
      <c r="C13" s="6" t="s">
        <v>47</v>
      </c>
    </row>
    <row r="14" ht="20" customHeight="1" spans="1:3">
      <c r="A14" s="15">
        <v>253.84</v>
      </c>
      <c r="B14" s="6" t="s">
        <v>25</v>
      </c>
      <c r="C14" s="6" t="s">
        <v>36</v>
      </c>
    </row>
    <row r="15" ht="16.8" customHeight="1" spans="1:3">
      <c r="A15" s="15">
        <v>1000</v>
      </c>
      <c r="B15" s="6" t="s">
        <v>25</v>
      </c>
      <c r="C15" s="4" t="s">
        <v>26</v>
      </c>
    </row>
    <row r="16" ht="16.8" customHeight="1" spans="1:3">
      <c r="A16" s="15">
        <v>355.3</v>
      </c>
      <c r="B16" s="6" t="s">
        <v>25</v>
      </c>
      <c r="C16" s="6" t="s">
        <v>36</v>
      </c>
    </row>
    <row r="17" ht="16.8" customHeight="1" spans="1:3">
      <c r="A17" s="15">
        <v>3000</v>
      </c>
      <c r="B17" s="6" t="s">
        <v>25</v>
      </c>
      <c r="C17" s="6" t="s">
        <v>41</v>
      </c>
    </row>
    <row r="18" ht="16.8" customHeight="1" spans="1:3">
      <c r="A18" s="15">
        <v>174</v>
      </c>
      <c r="B18" s="6" t="s">
        <v>25</v>
      </c>
      <c r="C18" s="6" t="s">
        <v>36</v>
      </c>
    </row>
    <row r="19" ht="16.8" customHeight="1" spans="1:3">
      <c r="A19" s="15">
        <v>33.6</v>
      </c>
      <c r="B19" s="6" t="s">
        <v>14</v>
      </c>
      <c r="C19" s="6" t="s">
        <v>42</v>
      </c>
    </row>
    <row r="20" ht="16.8" customHeight="1" spans="1:3">
      <c r="A20" s="15">
        <v>500</v>
      </c>
      <c r="B20" s="6" t="s">
        <v>25</v>
      </c>
      <c r="C20" s="6" t="s">
        <v>26</v>
      </c>
    </row>
    <row r="21" ht="16.8" customHeight="1" spans="1:3">
      <c r="A21" s="12"/>
      <c r="B21" s="7"/>
      <c r="C21" s="4"/>
    </row>
    <row r="22" ht="16.8" customHeight="1" spans="1:3">
      <c r="A22" s="12"/>
      <c r="B22" s="7"/>
      <c r="C22" s="4"/>
    </row>
    <row r="23" ht="16.8" customHeight="1" spans="1:3">
      <c r="A23" s="12"/>
      <c r="B23" s="7"/>
      <c r="C23" s="4"/>
    </row>
    <row r="24" ht="16.8" customHeight="1" spans="1:3">
      <c r="A24" s="12" t="s">
        <v>48</v>
      </c>
      <c r="B24" s="7" t="s">
        <v>4</v>
      </c>
      <c r="C24" s="4" t="s">
        <v>5</v>
      </c>
    </row>
    <row r="25" ht="16.8" customHeight="1" spans="1:3">
      <c r="A25" s="8">
        <v>6683.96</v>
      </c>
      <c r="B25" s="7" t="s">
        <v>49</v>
      </c>
      <c r="C25" s="4"/>
    </row>
    <row r="26" ht="16.8" customHeight="1" spans="1:3">
      <c r="A26" s="8">
        <v>1861.8</v>
      </c>
      <c r="B26" s="7" t="s">
        <v>50</v>
      </c>
      <c r="C26" s="4"/>
    </row>
    <row r="27" ht="16.8" customHeight="1" spans="1:3">
      <c r="A27" s="8">
        <v>0</v>
      </c>
      <c r="B27" s="7" t="s">
        <v>51</v>
      </c>
      <c r="C27" s="4"/>
    </row>
    <row r="28" ht="16.8" customHeight="1" spans="1:3">
      <c r="A28" s="8">
        <v>19919.1</v>
      </c>
      <c r="B28" s="7" t="s">
        <v>52</v>
      </c>
      <c r="C28" s="4"/>
    </row>
    <row r="29" ht="16.8" customHeight="1" spans="1:3">
      <c r="A29" s="8">
        <v>13970.88</v>
      </c>
      <c r="B29" s="7" t="s">
        <v>53</v>
      </c>
      <c r="C29" s="4"/>
    </row>
    <row r="32" ht="16.8" customHeight="1" spans="1:3">
      <c r="A32" s="12"/>
      <c r="B32" s="3"/>
      <c r="C32" s="9"/>
    </row>
    <row r="33" ht="16.8" customHeight="1" spans="1:3">
      <c r="A33" s="12"/>
      <c r="B33" s="3"/>
      <c r="C33" s="10"/>
    </row>
    <row r="35" ht="16.8" spans="1:3">
      <c r="A35" s="16" t="s">
        <v>54</v>
      </c>
      <c r="B35" s="17"/>
      <c r="C35" s="17"/>
    </row>
    <row r="36" ht="16.8" spans="1:3">
      <c r="A36" s="18" t="s">
        <v>55</v>
      </c>
      <c r="B36" s="18" t="s">
        <v>56</v>
      </c>
      <c r="C36" s="18" t="s">
        <v>57</v>
      </c>
    </row>
    <row r="37" ht="16.8" spans="1:3">
      <c r="A37" s="19" t="s">
        <v>58</v>
      </c>
      <c r="B37" s="20">
        <v>42435.74</v>
      </c>
      <c r="C37" s="19" t="s">
        <v>59</v>
      </c>
    </row>
    <row r="38" ht="16.8" spans="1:3">
      <c r="A38" s="19" t="s">
        <v>60</v>
      </c>
      <c r="B38" s="20">
        <v>37512.81</v>
      </c>
      <c r="C38" s="19" t="s">
        <v>59</v>
      </c>
    </row>
    <row r="39" ht="16.8" spans="1:3">
      <c r="A39" s="19" t="s">
        <v>61</v>
      </c>
      <c r="B39" s="20">
        <v>18551.94</v>
      </c>
      <c r="C39" s="19" t="s">
        <v>59</v>
      </c>
    </row>
    <row r="40" ht="16.8" spans="1:3">
      <c r="A40" s="19" t="s">
        <v>62</v>
      </c>
      <c r="B40" s="20">
        <v>4922.93</v>
      </c>
      <c r="C40" s="19" t="s">
        <v>59</v>
      </c>
    </row>
    <row r="41" ht="16.8" spans="1:3">
      <c r="A41" s="19" t="s">
        <v>63</v>
      </c>
      <c r="B41" s="21">
        <v>0.4372</v>
      </c>
      <c r="C41" s="19" t="s">
        <v>64</v>
      </c>
    </row>
    <row r="42" ht="16.8" spans="1:3">
      <c r="A42" s="19" t="s">
        <v>65</v>
      </c>
      <c r="B42" s="21">
        <v>0.116</v>
      </c>
      <c r="C42" s="19" t="s">
        <v>64</v>
      </c>
    </row>
    <row r="43" customFormat="1" ht="16.8"/>
    <row r="44" ht="16.8" spans="1:1">
      <c r="A44" s="22" t="s">
        <v>66</v>
      </c>
    </row>
    <row r="45" spans="1:3">
      <c r="A45" s="23" t="s">
        <v>67</v>
      </c>
      <c r="B45" s="23" t="s">
        <v>68</v>
      </c>
      <c r="C45" s="23" t="s">
        <v>69</v>
      </c>
    </row>
    <row r="46" customFormat="1" ht="16.8" spans="1:3">
      <c r="A46" s="24" t="s">
        <v>52</v>
      </c>
      <c r="B46" s="25">
        <v>19919.1</v>
      </c>
      <c r="C46" s="26">
        <v>0.4694</v>
      </c>
    </row>
    <row r="47" spans="1:3">
      <c r="A47" s="24" t="s">
        <v>53</v>
      </c>
      <c r="B47" s="25">
        <v>13970.88</v>
      </c>
      <c r="C47" s="26">
        <v>0.3292</v>
      </c>
    </row>
    <row r="48" spans="1:3">
      <c r="A48" s="24" t="s">
        <v>49</v>
      </c>
      <c r="B48" s="25">
        <v>6683.96</v>
      </c>
      <c r="C48" s="26">
        <v>0.1575</v>
      </c>
    </row>
    <row r="49" spans="1:3">
      <c r="A49" s="24" t="s">
        <v>50</v>
      </c>
      <c r="B49" s="25">
        <v>1861.8</v>
      </c>
      <c r="C49" s="26">
        <v>0.0439</v>
      </c>
    </row>
    <row r="50" spans="1:3">
      <c r="A50" s="24" t="s">
        <v>51</v>
      </c>
      <c r="B50" s="25">
        <v>0</v>
      </c>
      <c r="C50" s="26">
        <v>0</v>
      </c>
    </row>
    <row r="51" spans="1:3">
      <c r="A51" s="27" t="s">
        <v>70</v>
      </c>
      <c r="B51" s="28">
        <v>42435.74</v>
      </c>
      <c r="C51" s="29">
        <v>1</v>
      </c>
    </row>
    <row r="53" ht="16.8" spans="1:1">
      <c r="A53" s="30" t="s">
        <v>71</v>
      </c>
    </row>
    <row r="54" spans="1:3">
      <c r="A54" s="23" t="s">
        <v>72</v>
      </c>
      <c r="B54" s="23" t="s">
        <v>68</v>
      </c>
      <c r="C54" s="23" t="s">
        <v>69</v>
      </c>
    </row>
    <row r="55" customFormat="1" ht="16.8" spans="1:3">
      <c r="A55" s="24" t="s">
        <v>25</v>
      </c>
      <c r="B55" s="25">
        <v>23883.8</v>
      </c>
      <c r="C55" s="26">
        <v>0.6367</v>
      </c>
    </row>
    <row r="56" spans="1:3">
      <c r="A56" s="24" t="s">
        <v>45</v>
      </c>
      <c r="B56" s="25">
        <v>8500</v>
      </c>
      <c r="C56" s="26">
        <v>0.2266</v>
      </c>
    </row>
    <row r="57" spans="1:3">
      <c r="A57" s="24" t="s">
        <v>6</v>
      </c>
      <c r="B57" s="25">
        <v>4333</v>
      </c>
      <c r="C57" s="26">
        <v>0.1155</v>
      </c>
    </row>
    <row r="58" spans="1:3">
      <c r="A58" s="24" t="s">
        <v>32</v>
      </c>
      <c r="B58" s="25">
        <v>600</v>
      </c>
      <c r="C58" s="26">
        <v>0.016</v>
      </c>
    </row>
    <row r="59" spans="1:3">
      <c r="A59" s="24" t="s">
        <v>37</v>
      </c>
      <c r="B59" s="25">
        <v>162.41</v>
      </c>
      <c r="C59" s="26">
        <v>0.0043</v>
      </c>
    </row>
    <row r="60" spans="1:3">
      <c r="A60" s="24" t="s">
        <v>14</v>
      </c>
      <c r="B60" s="25">
        <v>33.6</v>
      </c>
      <c r="C60" s="26">
        <v>0.0009</v>
      </c>
    </row>
    <row r="61" spans="1:3">
      <c r="A61" s="31" t="s">
        <v>70</v>
      </c>
      <c r="B61" s="32">
        <v>37512.81</v>
      </c>
      <c r="C61" s="33">
        <v>1</v>
      </c>
    </row>
  </sheetData>
  <mergeCells count="3">
    <mergeCell ref="A35:C35"/>
    <mergeCell ref="A44:C44"/>
    <mergeCell ref="A53:C53"/>
  </mergeCells>
  <dataValidations count="2">
    <dataValidation type="list" allowBlank="1" showInputMessage="1" showErrorMessage="1" sqref="B16:B20">
      <formula1>"房租,装修,其他,设备,食材,推广,水电"</formula1>
    </dataValidation>
    <dataValidation type="list" allowBlank="1" showInputMessage="1" showErrorMessage="1" sqref="B2:B1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85"/>
  <sheetViews>
    <sheetView topLeftCell="A68" workbookViewId="0">
      <selection activeCell="C11" sqref="C11"/>
    </sheetView>
  </sheetViews>
  <sheetFormatPr defaultColWidth="9" defaultRowHeight="15" customHeight="1" outlineLevelCol="2"/>
  <cols>
    <col min="1" max="1" width="21.125" customWidth="1"/>
    <col min="2" max="2" width="24.3557692307692" customWidth="1"/>
    <col min="3" max="3" width="108.173076923077" customWidth="1"/>
  </cols>
  <sheetData>
    <row r="1" customHeight="1" spans="1:2">
      <c r="A1" s="12" t="s">
        <v>73</v>
      </c>
      <c r="B1" s="3">
        <f>SUM(支出明细2603[支出明细])</f>
        <v>69040.45</v>
      </c>
    </row>
    <row r="2" customHeight="1" spans="1:2">
      <c r="A2" s="12" t="s">
        <v>74</v>
      </c>
      <c r="B2" s="3">
        <f>SUM(收入明细2603[收入明细])</f>
        <v>73829.05</v>
      </c>
    </row>
    <row r="3" customHeight="1" spans="1:2">
      <c r="A3" s="12" t="s">
        <v>62</v>
      </c>
      <c r="B3" s="1">
        <f>B2-B1</f>
        <v>4788.59999999999</v>
      </c>
    </row>
    <row r="6" customHeight="1" spans="1:3">
      <c r="A6" s="13" t="s">
        <v>43</v>
      </c>
      <c r="B6" s="4" t="s">
        <v>4</v>
      </c>
      <c r="C6" s="4" t="s">
        <v>5</v>
      </c>
    </row>
    <row r="7" customHeight="1" spans="1:3">
      <c r="A7" s="2">
        <v>4333</v>
      </c>
      <c r="B7" s="4" t="s">
        <v>6</v>
      </c>
      <c r="C7" s="4" t="s">
        <v>44</v>
      </c>
    </row>
    <row r="8" customHeight="1" spans="1:3">
      <c r="A8" s="2">
        <v>15000</v>
      </c>
      <c r="B8" s="4" t="s">
        <v>45</v>
      </c>
      <c r="C8" s="4" t="s">
        <v>75</v>
      </c>
    </row>
    <row r="9" customHeight="1" spans="1:3">
      <c r="A9" s="2">
        <v>3000</v>
      </c>
      <c r="B9" s="4" t="s">
        <v>37</v>
      </c>
      <c r="C9" s="4" t="s">
        <v>75</v>
      </c>
    </row>
    <row r="10" customHeight="1" spans="1:3">
      <c r="A10" s="2">
        <v>4140</v>
      </c>
      <c r="B10" s="4" t="s">
        <v>25</v>
      </c>
      <c r="C10" s="4" t="s">
        <v>76</v>
      </c>
    </row>
    <row r="11" customHeight="1" spans="1:3">
      <c r="A11" s="2">
        <v>7866</v>
      </c>
      <c r="B11" s="6" t="s">
        <v>25</v>
      </c>
      <c r="C11" s="6" t="s">
        <v>77</v>
      </c>
    </row>
    <row r="12" customHeight="1" spans="1:3">
      <c r="A12" s="2">
        <v>28.64</v>
      </c>
      <c r="B12" s="6" t="s">
        <v>14</v>
      </c>
      <c r="C12" s="6" t="s">
        <v>78</v>
      </c>
    </row>
    <row r="13" customHeight="1" spans="1:3">
      <c r="A13" s="2">
        <v>44.48</v>
      </c>
      <c r="B13" s="6" t="s">
        <v>25</v>
      </c>
      <c r="C13" s="6" t="s">
        <v>36</v>
      </c>
    </row>
    <row r="14" customHeight="1" spans="1:3">
      <c r="A14" s="2">
        <v>3000</v>
      </c>
      <c r="B14" s="6" t="s">
        <v>25</v>
      </c>
      <c r="C14" s="6" t="s">
        <v>26</v>
      </c>
    </row>
    <row r="15" customHeight="1" spans="1:3">
      <c r="A15" s="2">
        <v>23</v>
      </c>
      <c r="B15" s="6" t="s">
        <v>25</v>
      </c>
      <c r="C15" s="6" t="s">
        <v>79</v>
      </c>
    </row>
    <row r="16" customHeight="1" spans="1:3">
      <c r="A16" s="2">
        <v>468</v>
      </c>
      <c r="B16" s="6" t="s">
        <v>25</v>
      </c>
      <c r="C16" s="6" t="s">
        <v>80</v>
      </c>
    </row>
    <row r="17" customHeight="1" spans="1:3">
      <c r="A17" s="2">
        <v>385</v>
      </c>
      <c r="B17" s="6" t="s">
        <v>25</v>
      </c>
      <c r="C17" s="6" t="s">
        <v>81</v>
      </c>
    </row>
    <row r="18" s="11" customFormat="1" customHeight="1" spans="1:3">
      <c r="A18" s="2">
        <v>295</v>
      </c>
      <c r="B18" s="6" t="s">
        <v>25</v>
      </c>
      <c r="C18" s="6" t="s">
        <v>82</v>
      </c>
    </row>
    <row r="19" s="11" customFormat="1" customHeight="1" spans="1:3">
      <c r="A19" s="2">
        <v>718</v>
      </c>
      <c r="B19" s="6" t="s">
        <v>25</v>
      </c>
      <c r="C19" s="6" t="s">
        <v>83</v>
      </c>
    </row>
    <row r="20" s="11" customFormat="1" customHeight="1" spans="1:3">
      <c r="A20" s="2">
        <v>57.6</v>
      </c>
      <c r="B20" s="6" t="s">
        <v>25</v>
      </c>
      <c r="C20" s="6" t="s">
        <v>84</v>
      </c>
    </row>
    <row r="21" customHeight="1" spans="1:3">
      <c r="A21" s="2">
        <v>302.5</v>
      </c>
      <c r="B21" s="6" t="s">
        <v>25</v>
      </c>
      <c r="C21" s="6" t="s">
        <v>85</v>
      </c>
    </row>
    <row r="22" customHeight="1" spans="1:3">
      <c r="A22" s="2">
        <v>400</v>
      </c>
      <c r="B22" s="6" t="s">
        <v>32</v>
      </c>
      <c r="C22" s="6" t="s">
        <v>86</v>
      </c>
    </row>
    <row r="23" customHeight="1" spans="1:3">
      <c r="A23" s="5">
        <v>225</v>
      </c>
      <c r="B23" s="6" t="s">
        <v>25</v>
      </c>
      <c r="C23" s="6" t="s">
        <v>87</v>
      </c>
    </row>
    <row r="24" customHeight="1" spans="1:3">
      <c r="A24" s="5">
        <v>350</v>
      </c>
      <c r="B24" s="6" t="s">
        <v>25</v>
      </c>
      <c r="C24" s="6" t="s">
        <v>88</v>
      </c>
    </row>
    <row r="25" customHeight="1" spans="1:3">
      <c r="A25" s="5">
        <v>112</v>
      </c>
      <c r="B25" s="6" t="s">
        <v>25</v>
      </c>
      <c r="C25" s="6" t="s">
        <v>89</v>
      </c>
    </row>
    <row r="26" customHeight="1" spans="1:3">
      <c r="A26" s="5">
        <v>198</v>
      </c>
      <c r="B26" s="6" t="s">
        <v>25</v>
      </c>
      <c r="C26" s="6" t="s">
        <v>90</v>
      </c>
    </row>
    <row r="27" customHeight="1" spans="1:3">
      <c r="A27" s="5">
        <v>100</v>
      </c>
      <c r="B27" s="6" t="s">
        <v>32</v>
      </c>
      <c r="C27" s="6" t="s">
        <v>91</v>
      </c>
    </row>
    <row r="28" customHeight="1" spans="1:3">
      <c r="A28" s="5">
        <v>362</v>
      </c>
      <c r="B28" s="6" t="s">
        <v>25</v>
      </c>
      <c r="C28" s="6" t="s">
        <v>92</v>
      </c>
    </row>
    <row r="29" customHeight="1" spans="1:3">
      <c r="A29" s="5">
        <v>300</v>
      </c>
      <c r="B29" s="6" t="s">
        <v>32</v>
      </c>
      <c r="C29" s="6" t="s">
        <v>93</v>
      </c>
    </row>
    <row r="30" customHeight="1" spans="1:3">
      <c r="A30" s="5">
        <v>128</v>
      </c>
      <c r="B30" s="6" t="s">
        <v>25</v>
      </c>
      <c r="C30" s="6" t="s">
        <v>94</v>
      </c>
    </row>
    <row r="31" customHeight="1" spans="1:3">
      <c r="A31" s="5">
        <v>304.63</v>
      </c>
      <c r="B31" s="6" t="s">
        <v>25</v>
      </c>
      <c r="C31" s="6" t="s">
        <v>85</v>
      </c>
    </row>
    <row r="32" customHeight="1" spans="1:3">
      <c r="A32" s="5">
        <v>4355.5</v>
      </c>
      <c r="B32" s="6" t="s">
        <v>25</v>
      </c>
      <c r="C32" s="6" t="s">
        <v>95</v>
      </c>
    </row>
    <row r="33" customHeight="1" spans="1:3">
      <c r="A33" s="5">
        <v>-180</v>
      </c>
      <c r="B33" s="6" t="s">
        <v>25</v>
      </c>
      <c r="C33" s="6" t="s">
        <v>96</v>
      </c>
    </row>
    <row r="34" customHeight="1" spans="1:3">
      <c r="A34" s="5">
        <v>350</v>
      </c>
      <c r="B34" s="6" t="s">
        <v>25</v>
      </c>
      <c r="C34" s="6" t="s">
        <v>97</v>
      </c>
    </row>
    <row r="35" customHeight="1" spans="1:3">
      <c r="A35" s="5">
        <v>224</v>
      </c>
      <c r="B35" s="6" t="s">
        <v>25</v>
      </c>
      <c r="C35" s="6" t="s">
        <v>98</v>
      </c>
    </row>
    <row r="36" customHeight="1" spans="1:3">
      <c r="A36" s="5">
        <v>177</v>
      </c>
      <c r="B36" s="6" t="s">
        <v>25</v>
      </c>
      <c r="C36" s="6" t="s">
        <v>99</v>
      </c>
    </row>
    <row r="37" customHeight="1" spans="1:3">
      <c r="A37" s="5">
        <v>112.2</v>
      </c>
      <c r="B37" s="6" t="s">
        <v>25</v>
      </c>
      <c r="C37" s="6" t="s">
        <v>100</v>
      </c>
    </row>
    <row r="38" customHeight="1" spans="1:3">
      <c r="A38" s="5">
        <v>-896</v>
      </c>
      <c r="B38" s="6" t="s">
        <v>25</v>
      </c>
      <c r="C38" s="6" t="s">
        <v>101</v>
      </c>
    </row>
    <row r="39" customHeight="1" spans="1:3">
      <c r="A39" s="5">
        <v>1188</v>
      </c>
      <c r="B39" s="6" t="s">
        <v>25</v>
      </c>
      <c r="C39" s="6" t="s">
        <v>102</v>
      </c>
    </row>
    <row r="40" customHeight="1" spans="1:3">
      <c r="A40" s="5">
        <v>2500</v>
      </c>
      <c r="B40" s="6" t="s">
        <v>25</v>
      </c>
      <c r="C40" s="6" t="s">
        <v>103</v>
      </c>
    </row>
    <row r="41" customHeight="1" spans="1:3">
      <c r="A41" s="5">
        <v>299</v>
      </c>
      <c r="B41" s="6" t="s">
        <v>14</v>
      </c>
      <c r="C41" s="6" t="s">
        <v>104</v>
      </c>
    </row>
    <row r="42" customHeight="1" spans="1:3">
      <c r="A42" s="5">
        <v>-433</v>
      </c>
      <c r="B42" s="6" t="s">
        <v>25</v>
      </c>
      <c r="C42" s="6" t="s">
        <v>105</v>
      </c>
    </row>
    <row r="43" customHeight="1" spans="1:3">
      <c r="A43" s="5">
        <v>50</v>
      </c>
      <c r="B43" s="6" t="s">
        <v>32</v>
      </c>
      <c r="C43" s="6" t="s">
        <v>106</v>
      </c>
    </row>
    <row r="44" customHeight="1" spans="1:3">
      <c r="A44" s="5">
        <v>601.92</v>
      </c>
      <c r="B44" s="6" t="s">
        <v>25</v>
      </c>
      <c r="C44" s="6" t="s">
        <v>107</v>
      </c>
    </row>
    <row r="45" customHeight="1" spans="1:3">
      <c r="A45" s="5">
        <v>390</v>
      </c>
      <c r="B45" s="6" t="s">
        <v>25</v>
      </c>
      <c r="C45" s="6" t="s">
        <v>108</v>
      </c>
    </row>
    <row r="46" customHeight="1" spans="1:3">
      <c r="A46" s="5">
        <v>300</v>
      </c>
      <c r="B46" s="6" t="s">
        <v>37</v>
      </c>
      <c r="C46" s="6" t="s">
        <v>109</v>
      </c>
    </row>
    <row r="47" customHeight="1" spans="1:3">
      <c r="A47" s="5">
        <v>125.1</v>
      </c>
      <c r="B47" s="6" t="s">
        <v>25</v>
      </c>
      <c r="C47" s="6" t="s">
        <v>110</v>
      </c>
    </row>
    <row r="48" customHeight="1" spans="1:3">
      <c r="A48" s="5">
        <v>170</v>
      </c>
      <c r="B48" s="6" t="s">
        <v>25</v>
      </c>
      <c r="C48" s="6" t="s">
        <v>111</v>
      </c>
    </row>
    <row r="49" customHeight="1" spans="1:3">
      <c r="A49" s="5">
        <v>1486.65</v>
      </c>
      <c r="B49" s="6" t="s">
        <v>14</v>
      </c>
      <c r="C49" s="6" t="s">
        <v>112</v>
      </c>
    </row>
    <row r="50" customHeight="1" spans="1:3">
      <c r="A50" s="5">
        <v>198</v>
      </c>
      <c r="B50" s="6" t="s">
        <v>25</v>
      </c>
      <c r="C50" s="6" t="s">
        <v>90</v>
      </c>
    </row>
    <row r="51" customHeight="1" spans="1:3">
      <c r="A51" s="5">
        <v>308</v>
      </c>
      <c r="B51" s="6" t="s">
        <v>25</v>
      </c>
      <c r="C51" s="6" t="s">
        <v>113</v>
      </c>
    </row>
    <row r="52" customHeight="1" spans="1:3">
      <c r="A52" s="5">
        <v>7560</v>
      </c>
      <c r="B52" s="6" t="s">
        <v>25</v>
      </c>
      <c r="C52" s="6" t="s">
        <v>114</v>
      </c>
    </row>
    <row r="53" customHeight="1" spans="1:3">
      <c r="A53" s="5">
        <v>500</v>
      </c>
      <c r="B53" s="6" t="s">
        <v>25</v>
      </c>
      <c r="C53" s="6" t="s">
        <v>26</v>
      </c>
    </row>
    <row r="54" customHeight="1" spans="1:3">
      <c r="A54" s="5">
        <v>195</v>
      </c>
      <c r="B54" s="6" t="s">
        <v>25</v>
      </c>
      <c r="C54" s="6" t="s">
        <v>115</v>
      </c>
    </row>
    <row r="55" customHeight="1" spans="1:3">
      <c r="A55" s="5">
        <v>33.9</v>
      </c>
      <c r="B55" s="6" t="s">
        <v>14</v>
      </c>
      <c r="C55" s="6" t="s">
        <v>116</v>
      </c>
    </row>
    <row r="56" customHeight="1" spans="1:3">
      <c r="A56" s="5">
        <v>1410</v>
      </c>
      <c r="B56" s="6" t="s">
        <v>25</v>
      </c>
      <c r="C56" s="6" t="s">
        <v>117</v>
      </c>
    </row>
    <row r="57" customHeight="1" spans="1:3">
      <c r="A57" s="5">
        <v>81.65</v>
      </c>
      <c r="B57" s="6" t="s">
        <v>14</v>
      </c>
      <c r="C57" s="6" t="s">
        <v>118</v>
      </c>
    </row>
    <row r="58" customHeight="1" spans="1:3">
      <c r="A58" s="5">
        <v>551.92</v>
      </c>
      <c r="B58" s="6" t="s">
        <v>25</v>
      </c>
      <c r="C58" s="6" t="s">
        <v>36</v>
      </c>
    </row>
    <row r="59" customHeight="1" spans="1:3">
      <c r="A59" s="5">
        <v>246</v>
      </c>
      <c r="B59" s="6" t="s">
        <v>25</v>
      </c>
      <c r="C59" s="6" t="s">
        <v>119</v>
      </c>
    </row>
    <row r="60" customHeight="1" spans="1:3">
      <c r="A60" s="5">
        <v>244.6</v>
      </c>
      <c r="B60" s="6" t="s">
        <v>25</v>
      </c>
      <c r="C60" s="6" t="s">
        <v>120</v>
      </c>
    </row>
    <row r="61" customHeight="1" spans="1:3">
      <c r="A61" s="5">
        <v>500</v>
      </c>
      <c r="B61" s="6" t="s">
        <v>25</v>
      </c>
      <c r="C61" s="6" t="s">
        <v>26</v>
      </c>
    </row>
    <row r="62" customHeight="1" spans="1:3">
      <c r="A62" s="5">
        <v>480</v>
      </c>
      <c r="B62" s="6" t="s">
        <v>25</v>
      </c>
      <c r="C62" s="6" t="s">
        <v>121</v>
      </c>
    </row>
    <row r="63" customHeight="1" spans="1:3">
      <c r="A63" s="5">
        <v>120</v>
      </c>
      <c r="B63" s="6" t="s">
        <v>25</v>
      </c>
      <c r="C63" s="6" t="s">
        <v>122</v>
      </c>
    </row>
    <row r="64" customHeight="1" spans="1:3">
      <c r="A64" s="5">
        <v>2555</v>
      </c>
      <c r="B64" s="6" t="s">
        <v>25</v>
      </c>
      <c r="C64" s="6" t="s">
        <v>123</v>
      </c>
    </row>
    <row r="65" customHeight="1" spans="1:3">
      <c r="A65" s="5">
        <v>106</v>
      </c>
      <c r="B65" s="6" t="s">
        <v>25</v>
      </c>
      <c r="C65" s="6" t="s">
        <v>124</v>
      </c>
    </row>
    <row r="66" customHeight="1" spans="1:3">
      <c r="A66" s="5">
        <v>22.8</v>
      </c>
      <c r="B66" s="6" t="s">
        <v>14</v>
      </c>
      <c r="C66" s="6" t="s">
        <v>125</v>
      </c>
    </row>
    <row r="67" customHeight="1" spans="1:3">
      <c r="A67" s="5">
        <v>390</v>
      </c>
      <c r="B67" s="6" t="s">
        <v>25</v>
      </c>
      <c r="C67" s="6" t="s">
        <v>126</v>
      </c>
    </row>
    <row r="68" customHeight="1" spans="1:3">
      <c r="A68" s="5">
        <v>246</v>
      </c>
      <c r="B68" s="6" t="s">
        <v>25</v>
      </c>
      <c r="C68" s="6" t="s">
        <v>119</v>
      </c>
    </row>
    <row r="69" customHeight="1" spans="1:3">
      <c r="A69" s="5">
        <v>130</v>
      </c>
      <c r="B69" s="6" t="s">
        <v>14</v>
      </c>
      <c r="C69" s="6" t="s">
        <v>127</v>
      </c>
    </row>
    <row r="70" customHeight="1" spans="1:3">
      <c r="A70" s="5">
        <v>96</v>
      </c>
      <c r="B70" s="6" t="s">
        <v>25</v>
      </c>
      <c r="C70" s="6" t="s">
        <v>128</v>
      </c>
    </row>
    <row r="71" customHeight="1" spans="1:3">
      <c r="A71" s="5">
        <v>104.36</v>
      </c>
      <c r="B71" s="6" t="s">
        <v>25</v>
      </c>
      <c r="C71" s="6" t="s">
        <v>129</v>
      </c>
    </row>
    <row r="72" customHeight="1" spans="1:3">
      <c r="A72" s="12"/>
      <c r="B72" s="7"/>
      <c r="C72" s="4"/>
    </row>
    <row r="73" customHeight="1" spans="1:3">
      <c r="A73" s="12"/>
      <c r="B73" s="7"/>
      <c r="C73" s="4"/>
    </row>
    <row r="74" customHeight="1" spans="1:3">
      <c r="A74" s="12"/>
      <c r="B74" s="7"/>
      <c r="C74" s="4"/>
    </row>
    <row r="75" customHeight="1" spans="1:3">
      <c r="A75" s="12" t="s">
        <v>48</v>
      </c>
      <c r="B75" s="7" t="s">
        <v>4</v>
      </c>
      <c r="C75" s="4" t="s">
        <v>5</v>
      </c>
    </row>
    <row r="76" customHeight="1" spans="1:3">
      <c r="A76" s="8">
        <v>8739.36</v>
      </c>
      <c r="B76" s="7" t="s">
        <v>130</v>
      </c>
      <c r="C76" s="4"/>
    </row>
    <row r="77" customHeight="1" spans="1:3">
      <c r="A77" s="8">
        <v>108.3</v>
      </c>
      <c r="B77" s="7" t="s">
        <v>131</v>
      </c>
      <c r="C77" s="4"/>
    </row>
    <row r="78" customHeight="1" spans="1:3">
      <c r="A78" s="8">
        <v>2679.29</v>
      </c>
      <c r="B78" s="7" t="s">
        <v>50</v>
      </c>
      <c r="C78" s="4"/>
    </row>
    <row r="79" customHeight="1" spans="1:3">
      <c r="A79" s="8">
        <v>9171.69</v>
      </c>
      <c r="B79" s="7" t="s">
        <v>51</v>
      </c>
      <c r="C79" s="4"/>
    </row>
    <row r="80" customHeight="1" spans="1:3">
      <c r="A80" s="8">
        <v>28180.51</v>
      </c>
      <c r="B80" s="7" t="s">
        <v>52</v>
      </c>
      <c r="C80" s="4"/>
    </row>
    <row r="81" customHeight="1" spans="1:3">
      <c r="A81" s="14">
        <v>24949.9</v>
      </c>
      <c r="B81" s="7" t="s">
        <v>53</v>
      </c>
      <c r="C81" s="6"/>
    </row>
    <row r="83" customHeight="1" spans="1:3">
      <c r="A83" s="12"/>
      <c r="B83" s="3"/>
      <c r="C83" s="9"/>
    </row>
    <row r="84" customHeight="1" spans="1:3">
      <c r="A84" s="12"/>
      <c r="B84" s="3"/>
      <c r="C84" s="10"/>
    </row>
    <row r="85" customHeight="1" spans="1:3">
      <c r="A85" s="12"/>
      <c r="C85" s="10"/>
    </row>
  </sheetData>
  <dataValidations count="1">
    <dataValidation type="list" allowBlank="1" showInputMessage="1" showErrorMessage="1" sqref="B9 B52 B53 B54 B55 B56 B57 B58 B59 B60 B61 B62 B63 B64 B65 B66 B67 B68 B69 B70 B71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5"/>
  <sheetViews>
    <sheetView workbookViewId="0">
      <selection activeCell="C14" sqref="C14"/>
    </sheetView>
  </sheetViews>
  <sheetFormatPr defaultColWidth="9" defaultRowHeight="15" customHeight="1" outlineLevelCol="2"/>
  <cols>
    <col min="1" max="1" width="21.125" style="1" customWidth="1"/>
    <col min="2" max="2" width="19.75" customWidth="1"/>
    <col min="3" max="3" width="125.634615384615" customWidth="1"/>
  </cols>
  <sheetData>
    <row r="1" customHeight="1" spans="1:2">
      <c r="A1" s="2" t="s">
        <v>73</v>
      </c>
      <c r="B1" s="3">
        <f>SUM(支出明细2604[支出明细])</f>
        <v>31730.58</v>
      </c>
    </row>
    <row r="2" customHeight="1" spans="1:2">
      <c r="A2" s="2" t="s">
        <v>74</v>
      </c>
      <c r="B2" s="3">
        <f>SUM(收入明细2604[收入明细])</f>
        <v>0</v>
      </c>
    </row>
    <row r="3" customHeight="1" spans="1:2">
      <c r="A3" s="2" t="s">
        <v>62</v>
      </c>
      <c r="B3" s="1">
        <f>B2-B1</f>
        <v>-31730.58</v>
      </c>
    </row>
    <row r="6" customHeight="1" spans="1:3">
      <c r="A6" s="2" t="s">
        <v>43</v>
      </c>
      <c r="B6" s="4" t="s">
        <v>4</v>
      </c>
      <c r="C6" s="4" t="s">
        <v>5</v>
      </c>
    </row>
    <row r="7" customHeight="1" spans="1:3">
      <c r="A7" s="2">
        <v>4333</v>
      </c>
      <c r="B7" s="4" t="s">
        <v>6</v>
      </c>
      <c r="C7" s="4" t="s">
        <v>44</v>
      </c>
    </row>
    <row r="8" customHeight="1" spans="1:3">
      <c r="A8" s="2">
        <v>15000</v>
      </c>
      <c r="B8" s="4" t="s">
        <v>45</v>
      </c>
      <c r="C8" s="4" t="s">
        <v>75</v>
      </c>
    </row>
    <row r="9" customHeight="1" spans="1:3">
      <c r="A9" s="2">
        <v>3000</v>
      </c>
      <c r="B9" s="4" t="s">
        <v>37</v>
      </c>
      <c r="C9" s="4" t="s">
        <v>75</v>
      </c>
    </row>
    <row r="10" customHeight="1" spans="1:3">
      <c r="A10" s="5">
        <v>4000</v>
      </c>
      <c r="B10" s="6" t="s">
        <v>25</v>
      </c>
      <c r="C10" s="6" t="s">
        <v>132</v>
      </c>
    </row>
    <row r="11" customHeight="1" spans="1:3">
      <c r="A11" s="2">
        <v>397.58</v>
      </c>
      <c r="B11" s="7" t="s">
        <v>25</v>
      </c>
      <c r="C11" s="4" t="s">
        <v>133</v>
      </c>
    </row>
    <row r="12" customHeight="1" spans="1:3">
      <c r="A12" s="2">
        <v>5000</v>
      </c>
      <c r="B12" s="7" t="s">
        <v>25</v>
      </c>
      <c r="C12" s="4" t="s">
        <v>134</v>
      </c>
    </row>
    <row r="13" customHeight="1" spans="1:3">
      <c r="A13" s="2"/>
      <c r="B13" s="7"/>
      <c r="C13" s="4"/>
    </row>
    <row r="14" customHeight="1" spans="1:3">
      <c r="A14" s="2"/>
      <c r="B14" s="7"/>
      <c r="C14" s="4"/>
    </row>
    <row r="15" customHeight="1" spans="1:3">
      <c r="A15" s="2"/>
      <c r="B15" s="7"/>
      <c r="C15" s="4"/>
    </row>
    <row r="16" customHeight="1" spans="1:3">
      <c r="A16" s="2" t="s">
        <v>48</v>
      </c>
      <c r="B16" s="7" t="s">
        <v>4</v>
      </c>
      <c r="C16" s="4" t="s">
        <v>5</v>
      </c>
    </row>
    <row r="17" customHeight="1" spans="1:3">
      <c r="A17" s="8">
        <v>0</v>
      </c>
      <c r="B17" s="7" t="s">
        <v>130</v>
      </c>
      <c r="C17" s="4"/>
    </row>
    <row r="18" customHeight="1" spans="1:3">
      <c r="A18" s="8">
        <v>0</v>
      </c>
      <c r="B18" s="7" t="s">
        <v>131</v>
      </c>
      <c r="C18" s="4"/>
    </row>
    <row r="19" customHeight="1" spans="1:3">
      <c r="A19" s="8">
        <v>0</v>
      </c>
      <c r="B19" s="7" t="s">
        <v>50</v>
      </c>
      <c r="C19" s="4"/>
    </row>
    <row r="20" customHeight="1" spans="1:3">
      <c r="A20" s="8">
        <v>0</v>
      </c>
      <c r="B20" s="7" t="s">
        <v>51</v>
      </c>
      <c r="C20" s="4"/>
    </row>
    <row r="21" customHeight="1" spans="1:3">
      <c r="A21" s="8">
        <v>0</v>
      </c>
      <c r="B21" s="7" t="s">
        <v>52</v>
      </c>
      <c r="C21" s="4"/>
    </row>
    <row r="22" customHeight="1" spans="1:3">
      <c r="A22" s="8">
        <v>0</v>
      </c>
      <c r="B22" s="7" t="s">
        <v>53</v>
      </c>
      <c r="C22" s="6"/>
    </row>
    <row r="23" customHeight="1" spans="1:3">
      <c r="A23" s="2"/>
      <c r="B23" s="3"/>
      <c r="C23" s="9"/>
    </row>
    <row r="24" customHeight="1" spans="1:3">
      <c r="A24" s="2"/>
      <c r="B24" s="3"/>
      <c r="C24" s="10"/>
    </row>
    <row r="25" customHeight="1" spans="1:3">
      <c r="A25" s="2"/>
      <c r="C25" s="10"/>
    </row>
  </sheetData>
  <dataValidations count="1">
    <dataValidation type="list" allowBlank="1" showInputMessage="1" showErrorMessage="1" sqref="B9 B10 B11 B12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 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2026-02-18T03:28:00Z</dcterms:created>
  <dcterms:modified xsi:type="dcterms:W3CDTF">2026-04-01T14:36:40Z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