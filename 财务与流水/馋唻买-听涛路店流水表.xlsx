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60" firstSheet="1" activeTab="1"/>
  </bookViews>
  <sheets>
    <sheet name="开店成本清单" sheetId="1" r:id="rId1"/>
    <sheet name="2026-02流水 " sheetId="3" r:id="rId2"/>
    <sheet name="2026-03流水" sheetId="2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<sst xmlns="http://schemas.openxmlformats.org/spreadsheetml/2006/main" count="306" uniqueCount="117">
  <si>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</si>
  <si>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</si>
  <si>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</si>
  <si>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</si>
  <si>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</si>
  <si>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</si>
  <si>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</si>
  <si>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</si>
  <si>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</si>
  <si>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</si>
  <si>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</si>
  <si>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</si>
  <si>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</si>
  <si>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</si>
  <si>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</si>
  <si>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</si>
  <si>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</si>
  <si>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</si>
  <si>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</si>
  <si>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</si>
  <si>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</si>
  <si>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</si>
  <si>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</si>
  <si>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</si>
  <si>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</si>
  <si>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</si>
  <si>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</si>
  <si>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</si>
  <si>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</si>
  <si>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</si>
  <si>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</si>
  <si>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</si>
  <si>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</si>
  <si>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</si>
  <si>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</si>
  <si>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</si>
  <si>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</si>
  <si>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</si>
  <si>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</si>
  <si>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</si>
  <si>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</si>
  <si>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</si>
  <si>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</si>
  <si>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支出合计</t>
  </si>
  <si>
    <t>收入合计</t>
  </si>
  <si>
    <t>利润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</si>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</sst>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4" fillId="3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7" fillId="13" borderId="1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</cellStyleXfs>
  <cellXfs count="19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收入明细2602" displayName="收入明细2602" ref="A30:C35" totalsRowShown="0">
  <autoFilter ref="A30:C35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支出明细2602" displayName="支出明细2602" ref="A7:C26" totalsRowShown="0">
  <autoFilter ref="A7:C2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16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16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16" t="s">
        <v>30</v>
      </c>
    </row>
    <row r="26" ht="15" customHeight="1" spans="1:3">
      <c r="A26" s="13">
        <v>640</v>
      </c>
      <c r="B26" t="s">
        <v>9</v>
      </c>
      <c r="C26" s="16" t="s">
        <v>31</v>
      </c>
    </row>
    <row r="27" ht="15" customHeight="1" spans="1:3">
      <c r="A27" s="13">
        <v>500</v>
      </c>
      <c r="B27" t="s">
        <v>32</v>
      </c>
      <c r="C27" s="16" t="s">
        <v>33</v>
      </c>
    </row>
    <row r="28" ht="15" customHeight="1" spans="1:3">
      <c r="A28" s="13">
        <v>600</v>
      </c>
      <c r="B28" t="s">
        <v>32</v>
      </c>
      <c r="C28" s="16" t="s">
        <v>34</v>
      </c>
    </row>
    <row r="29" ht="15" customHeight="1" spans="1:3">
      <c r="A29" s="13">
        <v>938</v>
      </c>
      <c r="B29" t="s">
        <v>25</v>
      </c>
      <c r="C29" s="16" t="s">
        <v>35</v>
      </c>
    </row>
    <row r="30" ht="15" customHeight="1" spans="1:3">
      <c r="A30" s="13">
        <v>1000</v>
      </c>
      <c r="B30" t="s">
        <v>25</v>
      </c>
      <c r="C30" s="16" t="s">
        <v>26</v>
      </c>
    </row>
    <row r="31" ht="15" customHeight="1" spans="1:3">
      <c r="A31" s="13">
        <v>60.5</v>
      </c>
      <c r="B31" t="s">
        <v>25</v>
      </c>
      <c r="C31" s="16" t="s">
        <v>36</v>
      </c>
    </row>
    <row r="32" ht="15" customHeight="1" spans="1:3">
      <c r="A32" s="13">
        <v>162.41</v>
      </c>
      <c r="B32" t="s">
        <v>37</v>
      </c>
      <c r="C32" s="16" t="s">
        <v>38</v>
      </c>
    </row>
    <row r="33" ht="15" customHeight="1" spans="1:3">
      <c r="A33" s="13">
        <v>42.16</v>
      </c>
      <c r="B33" t="s">
        <v>25</v>
      </c>
      <c r="C33" s="16" t="s">
        <v>35</v>
      </c>
    </row>
    <row r="34" ht="15" customHeight="1" spans="1:3">
      <c r="A34" s="13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tabSelected="1" workbookViewId="0">
      <selection activeCell="A5" sqref="$A5:$XFD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  <col min="4" max="4" width="17.7884615384615" customWidth="1"/>
  </cols>
  <sheetData>
    <row r="1" customHeight="1" spans="1:2">
      <c r="A1" s="12" t="s">
        <v>43</v>
      </c>
      <c r="B1" s="3">
        <f>SUM(支出明细2602[支出明细])</f>
        <v>37512.81</v>
      </c>
    </row>
    <row r="2" customHeight="1" spans="1:2">
      <c r="A2" s="12" t="s">
        <v>44</v>
      </c>
      <c r="B2" s="3">
        <f>SUM(收入明细2602[收入明细])</f>
        <v>42435.74</v>
      </c>
    </row>
    <row r="3" customHeight="1" spans="1:2">
      <c r="A3" s="12" t="s">
        <v>45</v>
      </c>
      <c r="B3" s="3">
        <f>B2-B1</f>
        <v>4922.92999999999</v>
      </c>
    </row>
    <row r="5" customHeight="1" spans="1:3">
      <c r="A5" s="13"/>
      <c r="B5" s="4"/>
      <c r="C5" s="4"/>
    </row>
    <row r="6" customHeight="1" spans="1:3">
      <c r="A6" s="13"/>
      <c r="B6" s="4"/>
      <c r="C6" s="4"/>
    </row>
    <row r="7" customHeight="1" spans="1:3">
      <c r="A7" s="13" t="s">
        <v>46</v>
      </c>
      <c r="B7" s="4" t="s">
        <v>4</v>
      </c>
      <c r="C7" s="4" t="s">
        <v>5</v>
      </c>
    </row>
    <row r="8" customHeight="1" spans="1:3">
      <c r="A8" s="13">
        <v>4333</v>
      </c>
      <c r="B8" s="4" t="s">
        <v>6</v>
      </c>
      <c r="C8" s="4" t="s">
        <v>47</v>
      </c>
    </row>
    <row r="9" customHeight="1" spans="1:3">
      <c r="A9" s="13">
        <v>8500</v>
      </c>
      <c r="B9" s="4" t="s">
        <v>48</v>
      </c>
      <c r="C9" s="4" t="s">
        <v>49</v>
      </c>
    </row>
    <row r="10" customHeight="1" spans="1:3">
      <c r="A10" s="13">
        <v>1000</v>
      </c>
      <c r="B10" s="4" t="s">
        <v>25</v>
      </c>
      <c r="C10" s="4" t="s">
        <v>26</v>
      </c>
    </row>
    <row r="11" customHeight="1" spans="1:3">
      <c r="A11" s="13">
        <v>13260</v>
      </c>
      <c r="B11" s="4" t="s">
        <v>25</v>
      </c>
      <c r="C11" s="4" t="s">
        <v>27</v>
      </c>
    </row>
    <row r="12" customHeight="1" spans="1:3">
      <c r="A12" s="13">
        <v>600</v>
      </c>
      <c r="B12" s="4" t="s">
        <v>32</v>
      </c>
      <c r="C12" s="4" t="s">
        <v>34</v>
      </c>
    </row>
    <row r="13" customHeight="1" spans="1:3">
      <c r="A13" s="13">
        <v>938</v>
      </c>
      <c r="B13" s="4" t="s">
        <v>25</v>
      </c>
      <c r="C13" s="4" t="s">
        <v>35</v>
      </c>
    </row>
    <row r="14" customHeight="1" spans="1:3">
      <c r="A14" s="13">
        <v>1000</v>
      </c>
      <c r="B14" s="4" t="s">
        <v>25</v>
      </c>
      <c r="C14" s="4" t="s">
        <v>26</v>
      </c>
    </row>
    <row r="15" customHeight="1" spans="1:3">
      <c r="A15" s="13">
        <v>60.5</v>
      </c>
      <c r="B15" s="4" t="s">
        <v>25</v>
      </c>
      <c r="C15" s="4" t="s">
        <v>36</v>
      </c>
    </row>
    <row r="16" customHeight="1" spans="1:3">
      <c r="A16" s="13">
        <v>162.41</v>
      </c>
      <c r="B16" s="4" t="s">
        <v>37</v>
      </c>
      <c r="C16" s="4" t="s">
        <v>38</v>
      </c>
    </row>
    <row r="17" customHeight="1" spans="1:3">
      <c r="A17" s="13">
        <v>42.16</v>
      </c>
      <c r="B17" s="4" t="s">
        <v>25</v>
      </c>
      <c r="C17" s="4" t="s">
        <v>35</v>
      </c>
    </row>
    <row r="18" customHeight="1" spans="1:3">
      <c r="A18" s="13">
        <v>1000</v>
      </c>
      <c r="B18" s="4" t="s">
        <v>25</v>
      </c>
      <c r="C18" s="4" t="s">
        <v>26</v>
      </c>
    </row>
    <row r="19" customHeight="1" spans="1:3">
      <c r="A19" s="15">
        <v>1300</v>
      </c>
      <c r="B19" s="6" t="s">
        <v>25</v>
      </c>
      <c r="C19" s="6" t="s">
        <v>50</v>
      </c>
    </row>
    <row r="20" customHeight="1" spans="1:3">
      <c r="A20" s="15">
        <v>253.84</v>
      </c>
      <c r="B20" s="6" t="s">
        <v>25</v>
      </c>
      <c r="C20" s="6" t="s">
        <v>36</v>
      </c>
    </row>
    <row r="21" customHeight="1" spans="1:3">
      <c r="A21" s="15">
        <v>1000</v>
      </c>
      <c r="B21" s="6" t="s">
        <v>25</v>
      </c>
      <c r="C21" s="4" t="s">
        <v>26</v>
      </c>
    </row>
    <row r="22" customHeight="1" spans="1:3">
      <c r="A22" s="15">
        <v>355.3</v>
      </c>
      <c r="B22" s="6" t="s">
        <v>25</v>
      </c>
      <c r="C22" s="6" t="s">
        <v>36</v>
      </c>
    </row>
    <row r="23" customHeight="1" spans="1:3">
      <c r="A23" s="15">
        <v>3000</v>
      </c>
      <c r="B23" s="6" t="s">
        <v>25</v>
      </c>
      <c r="C23" s="6" t="s">
        <v>41</v>
      </c>
    </row>
    <row r="24" customHeight="1" spans="1:3">
      <c r="A24" s="15">
        <v>174</v>
      </c>
      <c r="B24" s="6" t="s">
        <v>25</v>
      </c>
      <c r="C24" s="6" t="s">
        <v>36</v>
      </c>
    </row>
    <row r="25" customHeight="1" spans="1:3">
      <c r="A25" s="15">
        <v>33.6</v>
      </c>
      <c r="B25" s="6" t="s">
        <v>14</v>
      </c>
      <c r="C25" s="6" t="s">
        <v>42</v>
      </c>
    </row>
    <row r="26" customHeight="1" spans="1:3">
      <c r="A26" s="15">
        <v>500</v>
      </c>
      <c r="B26" s="6" t="s">
        <v>25</v>
      </c>
      <c r="C26" s="6" t="s">
        <v>26</v>
      </c>
    </row>
    <row r="27" customHeight="1" spans="1:3">
      <c r="A27" s="12"/>
      <c r="B27" s="7"/>
      <c r="C27" s="4"/>
    </row>
    <row r="28" customHeight="1" spans="1:3">
      <c r="A28" s="12"/>
      <c r="B28" s="7"/>
      <c r="C28" s="4"/>
    </row>
    <row r="29" customHeight="1" spans="1:3">
      <c r="A29" s="12"/>
      <c r="B29" s="7"/>
      <c r="C29" s="4"/>
    </row>
    <row r="30" customHeight="1" spans="1:3">
      <c r="A30" s="12" t="s">
        <v>51</v>
      </c>
      <c r="B30" s="7" t="s">
        <v>4</v>
      </c>
      <c r="C30" s="4" t="s">
        <v>5</v>
      </c>
    </row>
    <row r="31" customHeight="1" spans="1:3">
      <c r="A31" s="8">
        <v>6683.96</v>
      </c>
      <c r="B31" s="7" t="s">
        <v>52</v>
      </c>
      <c r="C31" s="4"/>
    </row>
    <row r="32" customHeight="1" spans="1:3">
      <c r="A32" s="8">
        <v>1861.8</v>
      </c>
      <c r="B32" s="7" t="s">
        <v>53</v>
      </c>
      <c r="C32" s="4"/>
    </row>
    <row r="33" customHeight="1" spans="1:3">
      <c r="A33" s="8">
        <v>0</v>
      </c>
      <c r="B33" s="7" t="s">
        <v>54</v>
      </c>
      <c r="C33" s="4"/>
    </row>
    <row r="34" customHeight="1" spans="1:3">
      <c r="A34" s="8">
        <v>19919.1</v>
      </c>
      <c r="B34" s="7" t="s">
        <v>55</v>
      </c>
      <c r="C34" s="4"/>
    </row>
    <row r="35" customHeight="1" spans="1:3">
      <c r="A35" s="8">
        <v>13970.88</v>
      </c>
      <c r="B35" s="7" t="s">
        <v>56</v>
      </c>
      <c r="C35" s="4"/>
    </row>
    <row r="38" customHeight="1" spans="1:3">
      <c r="A38" s="12"/>
      <c r="B38" s="3"/>
      <c r="C38" s="9"/>
    </row>
    <row r="39" customHeight="1" spans="1:3">
      <c r="A39" s="12"/>
      <c r="B39" s="3"/>
      <c r="C39" s="10"/>
    </row>
    <row r="40" customHeight="1" spans="1:3">
      <c r="A40" s="12"/>
      <c r="C40" s="10"/>
    </row>
    <row r="44" customHeight="1" spans="1:3">
      <c r="A44" s="12"/>
      <c r="B44" s="7"/>
      <c r="C44" s="4"/>
    </row>
    <row r="45" customHeight="1" spans="1:3">
      <c r="A45" s="8"/>
      <c r="B45" s="7"/>
      <c r="C45" s="4"/>
    </row>
    <row r="46" customHeight="1" spans="1:3">
      <c r="A46" s="8"/>
      <c r="B46" s="7"/>
      <c r="C46" s="4"/>
    </row>
    <row r="47" customHeight="1" spans="1:3">
      <c r="A47" s="8"/>
      <c r="B47" s="7"/>
      <c r="C47" s="4"/>
    </row>
    <row r="48" customHeight="1" spans="1:3">
      <c r="A48" s="8"/>
      <c r="B48" s="7"/>
      <c r="C48" s="4"/>
    </row>
    <row r="49" customHeight="1" spans="1:3">
      <c r="A49" s="8"/>
      <c r="B49" s="7"/>
      <c r="C49" s="4"/>
    </row>
  </sheetData>
  <dataValidations count="2">
    <dataValidation type="list" allowBlank="1" showInputMessage="1" showErrorMessage="1" sqref="B22:B26">
      <formula1>"房租,装修,其他,设备,食材,推广,水电"</formula1>
    </dataValidation>
    <dataValidation type="list" allowBlank="1" showInputMessage="1" showErrorMessage="1" sqref="B8:B2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A78" sqref="A78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2" t="s">
        <v>43</v>
      </c>
      <c r="B1" s="3">
        <f>SUM(支出明细2603[支出明细])</f>
        <v>69040.45</v>
      </c>
    </row>
    <row r="2" customHeight="1" spans="1:2">
      <c r="A2" s="12" t="s">
        <v>44</v>
      </c>
      <c r="B2" s="3">
        <f>SUM(收入明细2603[收入明细])</f>
        <v>73829.05</v>
      </c>
    </row>
    <row r="3" customHeight="1" spans="1:2">
      <c r="A3" s="12" t="s">
        <v>45</v>
      </c>
      <c r="B3" s="1">
        <f>B2-B1</f>
        <v>4788.60000000001</v>
      </c>
    </row>
    <row r="6" customHeight="1" spans="1:3">
      <c r="A6" s="13" t="s">
        <v>46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47</v>
      </c>
    </row>
    <row r="8" customHeight="1" spans="1:3">
      <c r="A8" s="2">
        <v>15000</v>
      </c>
      <c r="B8" s="4" t="s">
        <v>48</v>
      </c>
      <c r="C8" s="4" t="s">
        <v>57</v>
      </c>
    </row>
    <row r="9" customHeight="1" spans="1:3">
      <c r="A9" s="2">
        <v>3000</v>
      </c>
      <c r="B9" s="4" t="s">
        <v>37</v>
      </c>
      <c r="C9" s="4" t="s">
        <v>57</v>
      </c>
    </row>
    <row r="10" customHeight="1" spans="1:3">
      <c r="A10" s="2">
        <v>4140</v>
      </c>
      <c r="B10" s="4" t="s">
        <v>25</v>
      </c>
      <c r="C10" s="4" t="s">
        <v>58</v>
      </c>
    </row>
    <row r="11" customHeight="1" spans="1:3">
      <c r="A11" s="2">
        <v>7866</v>
      </c>
      <c r="B11" s="6" t="s">
        <v>25</v>
      </c>
      <c r="C11" s="6" t="s">
        <v>59</v>
      </c>
    </row>
    <row r="12" customHeight="1" spans="1:3">
      <c r="A12" s="2">
        <v>28.64</v>
      </c>
      <c r="B12" s="6" t="s">
        <v>14</v>
      </c>
      <c r="C12" s="6" t="s">
        <v>60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61</v>
      </c>
    </row>
    <row r="16" customHeight="1" spans="1:3">
      <c r="A16" s="2">
        <v>468</v>
      </c>
      <c r="B16" s="6" t="s">
        <v>25</v>
      </c>
      <c r="C16" s="6" t="s">
        <v>62</v>
      </c>
    </row>
    <row r="17" customHeight="1" spans="1:3">
      <c r="A17" s="2">
        <v>385</v>
      </c>
      <c r="B17" s="6" t="s">
        <v>25</v>
      </c>
      <c r="C17" s="6" t="s">
        <v>63</v>
      </c>
    </row>
    <row r="18" s="11" customFormat="1" customHeight="1" spans="1:3">
      <c r="A18" s="2">
        <v>295</v>
      </c>
      <c r="B18" s="6" t="s">
        <v>25</v>
      </c>
      <c r="C18" s="6" t="s">
        <v>64</v>
      </c>
    </row>
    <row r="19" s="11" customFormat="1" customHeight="1" spans="1:3">
      <c r="A19" s="2">
        <v>718</v>
      </c>
      <c r="B19" s="6" t="s">
        <v>25</v>
      </c>
      <c r="C19" s="6" t="s">
        <v>65</v>
      </c>
    </row>
    <row r="20" s="11" customFormat="1" customHeight="1" spans="1:3">
      <c r="A20" s="2">
        <v>57.6</v>
      </c>
      <c r="B20" s="6" t="s">
        <v>25</v>
      </c>
      <c r="C20" s="6" t="s">
        <v>66</v>
      </c>
    </row>
    <row r="21" customHeight="1" spans="1:3">
      <c r="A21" s="2">
        <v>302.5</v>
      </c>
      <c r="B21" s="6" t="s">
        <v>25</v>
      </c>
      <c r="C21" s="6" t="s">
        <v>67</v>
      </c>
    </row>
    <row r="22" customHeight="1" spans="1:3">
      <c r="A22" s="2">
        <v>400</v>
      </c>
      <c r="B22" s="6" t="s">
        <v>32</v>
      </c>
      <c r="C22" s="6" t="s">
        <v>68</v>
      </c>
    </row>
    <row r="23" customHeight="1" spans="1:3">
      <c r="A23" s="5">
        <v>225</v>
      </c>
      <c r="B23" s="6" t="s">
        <v>25</v>
      </c>
      <c r="C23" s="6" t="s">
        <v>69</v>
      </c>
    </row>
    <row r="24" customHeight="1" spans="1:3">
      <c r="A24" s="5">
        <v>350</v>
      </c>
      <c r="B24" s="6" t="s">
        <v>25</v>
      </c>
      <c r="C24" s="6" t="s">
        <v>70</v>
      </c>
    </row>
    <row r="25" customHeight="1" spans="1:3">
      <c r="A25" s="5">
        <v>112</v>
      </c>
      <c r="B25" s="6" t="s">
        <v>25</v>
      </c>
      <c r="C25" s="6" t="s">
        <v>71</v>
      </c>
    </row>
    <row r="26" customHeight="1" spans="1:3">
      <c r="A26" s="5">
        <v>198</v>
      </c>
      <c r="B26" s="6" t="s">
        <v>25</v>
      </c>
      <c r="C26" s="6" t="s">
        <v>72</v>
      </c>
    </row>
    <row r="27" customHeight="1" spans="1:3">
      <c r="A27" s="5">
        <v>100</v>
      </c>
      <c r="B27" s="6" t="s">
        <v>32</v>
      </c>
      <c r="C27" s="6" t="s">
        <v>73</v>
      </c>
    </row>
    <row r="28" customHeight="1" spans="1:3">
      <c r="A28" s="5">
        <v>362</v>
      </c>
      <c r="B28" s="6" t="s">
        <v>25</v>
      </c>
      <c r="C28" s="6" t="s">
        <v>74</v>
      </c>
    </row>
    <row r="29" customHeight="1" spans="1:3">
      <c r="A29" s="5">
        <v>300</v>
      </c>
      <c r="B29" s="6" t="s">
        <v>32</v>
      </c>
      <c r="C29" s="6" t="s">
        <v>75</v>
      </c>
    </row>
    <row r="30" customHeight="1" spans="1:3">
      <c r="A30" s="5">
        <v>128</v>
      </c>
      <c r="B30" s="6" t="s">
        <v>25</v>
      </c>
      <c r="C30" s="6" t="s">
        <v>76</v>
      </c>
    </row>
    <row r="31" customHeight="1" spans="1:3">
      <c r="A31" s="5">
        <v>304.63</v>
      </c>
      <c r="B31" s="6" t="s">
        <v>25</v>
      </c>
      <c r="C31" s="6" t="s">
        <v>67</v>
      </c>
    </row>
    <row r="32" customHeight="1" spans="1:3">
      <c r="A32" s="5">
        <v>4355.5</v>
      </c>
      <c r="B32" s="6" t="s">
        <v>25</v>
      </c>
      <c r="C32" s="6" t="s">
        <v>77</v>
      </c>
    </row>
    <row r="33" customHeight="1" spans="1:3">
      <c r="A33" s="5">
        <v>-180</v>
      </c>
      <c r="B33" s="6" t="s">
        <v>25</v>
      </c>
      <c r="C33" s="6" t="s">
        <v>78</v>
      </c>
    </row>
    <row r="34" customHeight="1" spans="1:3">
      <c r="A34" s="5">
        <v>350</v>
      </c>
      <c r="B34" s="6" t="s">
        <v>25</v>
      </c>
      <c r="C34" s="6" t="s">
        <v>79</v>
      </c>
    </row>
    <row r="35" customHeight="1" spans="1:3">
      <c r="A35" s="5">
        <v>224</v>
      </c>
      <c r="B35" s="6" t="s">
        <v>25</v>
      </c>
      <c r="C35" s="6" t="s">
        <v>80</v>
      </c>
    </row>
    <row r="36" customHeight="1" spans="1:3">
      <c r="A36" s="5">
        <v>177</v>
      </c>
      <c r="B36" s="6" t="s">
        <v>25</v>
      </c>
      <c r="C36" s="6" t="s">
        <v>81</v>
      </c>
    </row>
    <row r="37" customHeight="1" spans="1:3">
      <c r="A37" s="5">
        <v>112.2</v>
      </c>
      <c r="B37" s="6" t="s">
        <v>25</v>
      </c>
      <c r="C37" s="6" t="s">
        <v>82</v>
      </c>
    </row>
    <row r="38" customHeight="1" spans="1:3">
      <c r="A38" s="5">
        <v>-896</v>
      </c>
      <c r="B38" s="6" t="s">
        <v>25</v>
      </c>
      <c r="C38" s="6" t="s">
        <v>83</v>
      </c>
    </row>
    <row r="39" customHeight="1" spans="1:3">
      <c r="A39" s="5">
        <v>1188</v>
      </c>
      <c r="B39" s="6" t="s">
        <v>25</v>
      </c>
      <c r="C39" s="6" t="s">
        <v>84</v>
      </c>
    </row>
    <row r="40" customHeight="1" spans="1:3">
      <c r="A40" s="5">
        <v>2500</v>
      </c>
      <c r="B40" s="6" t="s">
        <v>25</v>
      </c>
      <c r="C40" s="6" t="s">
        <v>85</v>
      </c>
    </row>
    <row r="41" customHeight="1" spans="1:3">
      <c r="A41" s="5">
        <v>299</v>
      </c>
      <c r="B41" s="6" t="s">
        <v>14</v>
      </c>
      <c r="C41" s="6" t="s">
        <v>86</v>
      </c>
    </row>
    <row r="42" customHeight="1" spans="1:3">
      <c r="A42" s="5">
        <v>-433</v>
      </c>
      <c r="B42" s="6" t="s">
        <v>25</v>
      </c>
      <c r="C42" s="6" t="s">
        <v>87</v>
      </c>
    </row>
    <row r="43" customHeight="1" spans="1:3">
      <c r="A43" s="5">
        <v>50</v>
      </c>
      <c r="B43" s="6" t="s">
        <v>32</v>
      </c>
      <c r="C43" s="6" t="s">
        <v>88</v>
      </c>
    </row>
    <row r="44" customHeight="1" spans="1:3">
      <c r="A44" s="5">
        <v>601.92</v>
      </c>
      <c r="B44" s="6" t="s">
        <v>25</v>
      </c>
      <c r="C44" s="6" t="s">
        <v>89</v>
      </c>
    </row>
    <row r="45" customHeight="1" spans="1:3">
      <c r="A45" s="5">
        <v>390</v>
      </c>
      <c r="B45" s="6" t="s">
        <v>25</v>
      </c>
      <c r="C45" s="6" t="s">
        <v>90</v>
      </c>
    </row>
    <row r="46" customHeight="1" spans="1:3">
      <c r="A46" s="5">
        <v>300</v>
      </c>
      <c r="B46" s="6" t="s">
        <v>37</v>
      </c>
      <c r="C46" s="6" t="s">
        <v>91</v>
      </c>
    </row>
    <row r="47" customHeight="1" spans="1:3">
      <c r="A47" s="5">
        <v>125.1</v>
      </c>
      <c r="B47" s="6" t="s">
        <v>25</v>
      </c>
      <c r="C47" s="6" t="s">
        <v>92</v>
      </c>
    </row>
    <row r="48" customHeight="1" spans="1:3">
      <c r="A48" s="5">
        <v>170</v>
      </c>
      <c r="B48" s="6" t="s">
        <v>25</v>
      </c>
      <c r="C48" s="6" t="s">
        <v>93</v>
      </c>
    </row>
    <row r="49" customHeight="1" spans="1:3">
      <c r="A49" s="5">
        <v>1486.65</v>
      </c>
      <c r="B49" s="6" t="s">
        <v>14</v>
      </c>
      <c r="C49" s="6" t="s">
        <v>94</v>
      </c>
    </row>
    <row r="50" customHeight="1" spans="1:3">
      <c r="A50" s="5">
        <v>198</v>
      </c>
      <c r="B50" s="6" t="s">
        <v>25</v>
      </c>
      <c r="C50" s="6" t="s">
        <v>72</v>
      </c>
    </row>
    <row r="51" customHeight="1" spans="1:3">
      <c r="A51" s="5">
        <v>308</v>
      </c>
      <c r="B51" s="6" t="s">
        <v>25</v>
      </c>
      <c r="C51" s="6" t="s">
        <v>95</v>
      </c>
    </row>
    <row r="52" customHeight="1" spans="1:3">
      <c r="A52" s="5">
        <v>7560</v>
      </c>
      <c r="B52" s="6" t="s">
        <v>25</v>
      </c>
      <c r="C52" s="6" t="s">
        <v>96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97</v>
      </c>
    </row>
    <row r="55" customHeight="1" spans="1:3">
      <c r="A55" s="5">
        <v>33.9</v>
      </c>
      <c r="B55" s="6" t="s">
        <v>14</v>
      </c>
      <c r="C55" s="6" t="s">
        <v>98</v>
      </c>
    </row>
    <row r="56" customHeight="1" spans="1:3">
      <c r="A56" s="5">
        <v>1410</v>
      </c>
      <c r="B56" s="6" t="s">
        <v>25</v>
      </c>
      <c r="C56" s="6" t="s">
        <v>99</v>
      </c>
    </row>
    <row r="57" customHeight="1" spans="1:3">
      <c r="A57" s="5">
        <v>81.65</v>
      </c>
      <c r="B57" s="6" t="s">
        <v>14</v>
      </c>
      <c r="C57" s="6" t="s">
        <v>100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101</v>
      </c>
    </row>
    <row r="60" customHeight="1" spans="1:3">
      <c r="A60" s="5">
        <v>244.6</v>
      </c>
      <c r="B60" s="6" t="s">
        <v>25</v>
      </c>
      <c r="C60" s="6" t="s">
        <v>102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103</v>
      </c>
    </row>
    <row r="63" customHeight="1" spans="1:3">
      <c r="A63" s="5">
        <v>120</v>
      </c>
      <c r="B63" s="6" t="s">
        <v>25</v>
      </c>
      <c r="C63" s="6" t="s">
        <v>104</v>
      </c>
    </row>
    <row r="64" customHeight="1" spans="1:3">
      <c r="A64" s="5">
        <v>2555</v>
      </c>
      <c r="B64" s="6" t="s">
        <v>25</v>
      </c>
      <c r="C64" s="6" t="s">
        <v>105</v>
      </c>
    </row>
    <row r="65" customHeight="1" spans="1:3">
      <c r="A65" s="5">
        <v>106</v>
      </c>
      <c r="B65" s="6" t="s">
        <v>25</v>
      </c>
      <c r="C65" s="6" t="s">
        <v>106</v>
      </c>
    </row>
    <row r="66" customHeight="1" spans="1:3">
      <c r="A66" s="5">
        <v>22.8</v>
      </c>
      <c r="B66" s="6" t="s">
        <v>14</v>
      </c>
      <c r="C66" s="6" t="s">
        <v>107</v>
      </c>
    </row>
    <row r="67" customHeight="1" spans="1:3">
      <c r="A67" s="5">
        <v>390</v>
      </c>
      <c r="B67" s="6" t="s">
        <v>25</v>
      </c>
      <c r="C67" s="6" t="s">
        <v>108</v>
      </c>
    </row>
    <row r="68" customHeight="1" spans="1:3">
      <c r="A68" s="5">
        <v>246</v>
      </c>
      <c r="B68" s="6" t="s">
        <v>25</v>
      </c>
      <c r="C68" s="6" t="s">
        <v>101</v>
      </c>
    </row>
    <row r="69" customHeight="1" spans="1:3">
      <c r="A69" s="5">
        <v>130</v>
      </c>
      <c r="B69" s="6" t="s">
        <v>14</v>
      </c>
      <c r="C69" s="6" t="s">
        <v>109</v>
      </c>
    </row>
    <row r="70" customHeight="1" spans="1:3">
      <c r="A70" s="5">
        <v>96</v>
      </c>
      <c r="B70" s="6" t="s">
        <v>25</v>
      </c>
      <c r="C70" s="6" t="s">
        <v>110</v>
      </c>
    </row>
    <row r="71" customHeight="1" spans="1:3">
      <c r="A71" s="5">
        <v>104.36</v>
      </c>
      <c r="B71" s="6" t="s">
        <v>25</v>
      </c>
      <c r="C71" s="6" t="s">
        <v>111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51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112</v>
      </c>
      <c r="C76" s="4"/>
    </row>
    <row r="77" customHeight="1" spans="1:3">
      <c r="A77" s="8">
        <v>108.3</v>
      </c>
      <c r="B77" s="7" t="s">
        <v>113</v>
      </c>
      <c r="C77" s="4"/>
    </row>
    <row r="78" customHeight="1" spans="1:3">
      <c r="A78" s="8">
        <v>2679.29</v>
      </c>
      <c r="B78" s="7" t="s">
        <v>53</v>
      </c>
      <c r="C78" s="4"/>
    </row>
    <row r="79" customHeight="1" spans="1:3">
      <c r="A79" s="8">
        <v>9171.69</v>
      </c>
      <c r="B79" s="7" t="s">
        <v>54</v>
      </c>
      <c r="C79" s="4"/>
    </row>
    <row r="80" customHeight="1" spans="1:3">
      <c r="A80" s="8">
        <v>28180.51</v>
      </c>
      <c r="B80" s="7" t="s">
        <v>55</v>
      </c>
      <c r="C80" s="4"/>
    </row>
    <row r="81" customHeight="1" spans="1:3">
      <c r="A81" s="14">
        <v>24949.9</v>
      </c>
      <c r="B81" s="7" t="s">
        <v>56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B1" sqref="B1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43</v>
      </c>
      <c r="B1" s="3">
        <f>SUM(支出明细2604[支出明细])</f>
        <v>31730.58</v>
      </c>
    </row>
    <row r="2" customHeight="1" spans="1:2">
      <c r="A2" s="2" t="s">
        <v>44</v>
      </c>
      <c r="B2" s="3">
        <f>SUM(收入明细2604[收入明细])</f>
        <v>0</v>
      </c>
    </row>
    <row r="3" customHeight="1" spans="1:2">
      <c r="A3" s="2" t="s">
        <v>45</v>
      </c>
      <c r="B3" s="1">
        <f>B2-B1</f>
        <v>-31730.58</v>
      </c>
    </row>
    <row r="6" customHeight="1" spans="1:3">
      <c r="A6" s="2" t="s">
        <v>46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47</v>
      </c>
    </row>
    <row r="8" customHeight="1" spans="1:3">
      <c r="A8" s="2">
        <v>15000</v>
      </c>
      <c r="B8" s="4" t="s">
        <v>48</v>
      </c>
      <c r="C8" s="4" t="s">
        <v>57</v>
      </c>
    </row>
    <row r="9" customHeight="1" spans="1:3">
      <c r="A9" s="2">
        <v>3000</v>
      </c>
      <c r="B9" s="4" t="s">
        <v>37</v>
      </c>
      <c r="C9" s="4" t="s">
        <v>57</v>
      </c>
    </row>
    <row r="10" customHeight="1" spans="1:3">
      <c r="A10" s="5">
        <v>4000</v>
      </c>
      <c r="B10" s="6" t="s">
        <v>25</v>
      </c>
      <c r="C10" s="6" t="s">
        <v>114</v>
      </c>
    </row>
    <row r="11" customHeight="1" spans="1:3">
      <c r="A11" s="2">
        <v>397.58</v>
      </c>
      <c r="B11" s="7" t="s">
        <v>25</v>
      </c>
      <c r="C11" s="4" t="s">
        <v>115</v>
      </c>
    </row>
    <row r="12" customHeight="1" spans="1:3">
      <c r="A12" s="2">
        <v>5000</v>
      </c>
      <c r="B12" s="7" t="s">
        <v>25</v>
      </c>
      <c r="C12" s="4" t="s">
        <v>116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51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112</v>
      </c>
      <c r="C17" s="4"/>
    </row>
    <row r="18" customHeight="1" spans="1:3">
      <c r="A18" s="8">
        <v>0</v>
      </c>
      <c r="B18" s="7" t="s">
        <v>113</v>
      </c>
      <c r="C18" s="4"/>
    </row>
    <row r="19" customHeight="1" spans="1:3">
      <c r="A19" s="8">
        <v>0</v>
      </c>
      <c r="B19" s="7" t="s">
        <v>53</v>
      </c>
      <c r="C19" s="4"/>
    </row>
    <row r="20" customHeight="1" spans="1:3">
      <c r="A20" s="8">
        <v>0</v>
      </c>
      <c r="B20" s="7" t="s">
        <v>54</v>
      </c>
      <c r="C20" s="4"/>
    </row>
    <row r="21" customHeight="1" spans="1:3">
      <c r="A21" s="8">
        <v>0</v>
      </c>
      <c r="B21" s="7" t="s">
        <v>55</v>
      </c>
      <c r="C21" s="4"/>
    </row>
    <row r="22" customHeight="1" spans="1:3">
      <c r="A22" s="8">
        <v>0</v>
      </c>
      <c r="B22" s="7" t="s">
        <v>56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2026-02-16T03:28:00Z</dcterms:created>
  <dcterms:modified xsi:type="dcterms:W3CDTF">2026-04-01T11:00:27Z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