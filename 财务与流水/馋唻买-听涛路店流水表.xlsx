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5B353DFC-0A45-4854-AAF8-14D3536B2FE5}" xr6:coauthVersionLast="47" xr6:coauthVersionMax="47" xr10:uidLastSave="{00000000-0000-0000-0000-000000000000}"/>
  <bookViews>
    <workbookView xWindow="-108" yWindow="-108" windowWidth="41496" windowHeight="16776" activeTab="3" xr2:uid="{00000000-000D-0000-FFFF-FFFF00000000}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5" l="1"/>
  <c r="B27" i="5"/>
  <c r="B26" i="5"/>
  <c r="B25" i="5"/>
  <c r="B24" i="5"/>
  <c r="B23" i="5"/>
  <c r="B17" i="5"/>
  <c r="B16" i="5"/>
  <c r="C16" i="5" s="1"/>
  <c r="B15" i="5"/>
  <c r="C15" i="5" s="1"/>
  <c r="B14" i="5"/>
  <c r="C14" i="5" s="1"/>
  <c r="B13" i="5"/>
  <c r="C13" i="5" s="1"/>
  <c r="C18" i="5" s="1"/>
  <c r="B4" i="5"/>
  <c r="B3" i="5"/>
  <c r="B28" i="3"/>
  <c r="C28" i="3" s="1"/>
  <c r="B27" i="3"/>
  <c r="C27" i="3" s="1"/>
  <c r="B26" i="3"/>
  <c r="C26" i="3" s="1"/>
  <c r="B25" i="3"/>
  <c r="C25" i="3" s="1"/>
  <c r="B24" i="3"/>
  <c r="C24" i="3" s="1"/>
  <c r="B23" i="3"/>
  <c r="B17" i="3"/>
  <c r="C17" i="3" s="1"/>
  <c r="B16" i="3"/>
  <c r="C16" i="3" s="1"/>
  <c r="B15" i="3"/>
  <c r="C15" i="3" s="1"/>
  <c r="B14" i="3"/>
  <c r="C14" i="3" s="1"/>
  <c r="B13" i="3"/>
  <c r="C13" i="3" s="1"/>
  <c r="C18" i="3" s="1"/>
  <c r="B4" i="3"/>
  <c r="B3" i="3"/>
  <c r="B6" i="3" s="1"/>
  <c r="B8" i="3" s="1"/>
  <c r="B29" i="2"/>
  <c r="B28" i="2"/>
  <c r="C28" i="2" s="1"/>
  <c r="B27" i="2"/>
  <c r="C27" i="2" s="1"/>
  <c r="B26" i="2"/>
  <c r="C26" i="2" s="1"/>
  <c r="B25" i="2"/>
  <c r="C25" i="2" s="1"/>
  <c r="B24" i="2"/>
  <c r="C24" i="2" s="1"/>
  <c r="B23" i="2"/>
  <c r="C23" i="2" s="1"/>
  <c r="C29" i="2" s="1"/>
  <c r="B18" i="2"/>
  <c r="B17" i="2"/>
  <c r="C17" i="2" s="1"/>
  <c r="B16" i="2"/>
  <c r="C16" i="2" s="1"/>
  <c r="B15" i="2"/>
  <c r="C15" i="2" s="1"/>
  <c r="B14" i="2"/>
  <c r="C14" i="2" s="1"/>
  <c r="B13" i="2"/>
  <c r="C13" i="2" s="1"/>
  <c r="B4" i="2"/>
  <c r="B3" i="2"/>
  <c r="B6" i="2" s="1"/>
  <c r="B8" i="2" s="1"/>
  <c r="B2" i="1"/>
  <c r="B3" i="1" s="1"/>
  <c r="B28" i="4"/>
  <c r="B27" i="4"/>
  <c r="B26" i="4"/>
  <c r="C26" i="4" s="1"/>
  <c r="B25" i="4"/>
  <c r="C25" i="4" s="1"/>
  <c r="B24" i="4"/>
  <c r="C24" i="4" s="1"/>
  <c r="B23" i="4"/>
  <c r="B17" i="4"/>
  <c r="C17" i="4" s="1"/>
  <c r="B16" i="4"/>
  <c r="C16" i="4" s="1"/>
  <c r="B15" i="4"/>
  <c r="C15" i="4" s="1"/>
  <c r="B14" i="4"/>
  <c r="C14" i="4" s="1"/>
  <c r="B13" i="4"/>
  <c r="C13" i="4" s="1"/>
  <c r="C18" i="4" s="1"/>
  <c r="B4" i="4"/>
  <c r="B3" i="4"/>
  <c r="B5" i="4" s="1"/>
  <c r="B7" i="4" s="1"/>
  <c r="C27" i="4" l="1"/>
  <c r="C28" i="4"/>
  <c r="C17" i="5"/>
  <c r="C24" i="5"/>
  <c r="C25" i="5"/>
  <c r="C26" i="5"/>
  <c r="C27" i="5"/>
  <c r="C28" i="5"/>
  <c r="B29" i="5"/>
  <c r="B6" i="5"/>
  <c r="B8" i="5" s="1"/>
  <c r="B18" i="5"/>
  <c r="C23" i="5"/>
  <c r="C29" i="5" s="1"/>
  <c r="B5" i="5"/>
  <c r="B7" i="5" s="1"/>
  <c r="B29" i="3"/>
  <c r="B29" i="4"/>
  <c r="C18" i="2"/>
  <c r="B18" i="4"/>
  <c r="B5" i="2"/>
  <c r="B7" i="2" s="1"/>
  <c r="C23" i="4"/>
  <c r="C29" i="4" s="1"/>
  <c r="B18" i="3"/>
  <c r="B6" i="4"/>
  <c r="B8" i="4" s="1"/>
  <c r="C23" i="3"/>
  <c r="C29" i="3" s="1"/>
  <c r="B5" i="3"/>
  <c r="B7" i="3" s="1"/>
</calcChain>
</file>

<file path=xl/sharedStrings.xml><?xml version="1.0" encoding="utf-8"?>
<sst xmlns="http://schemas.openxmlformats.org/spreadsheetml/2006/main" count="510" uniqueCount="160">
  <si>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</si>
  <si>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</si>
  <si>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</si>
  <si>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</si>
  <si>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</si>
  <si>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</si>
  <si>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</si>
  <si>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</si>
  <si>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</si>
  <si>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</si>
  <si>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</si>
  <si>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</si>
  <si>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</si>
  <si>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</si>
  <si>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</si>
  <si>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</si>
  <si>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</si>
  <si>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</si>
  <si>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</si>
  <si>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</si>
  <si>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</si>
  <si>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</si>
  <si>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</si>
  <si>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</si>
  <si>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</si>
  <si>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</si>
  <si>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</si>
  <si>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</si>
  <si>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</si>
  <si>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</si>
  <si>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</si>
  <si>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</si>
  <si>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</si>
  <si>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</si>
  <si>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</si>
  <si>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</si>
  <si>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</si>
  <si>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</si>
  <si>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</si>
  <si>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</si>
  <si>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</si>
  <si>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</si>
  <si>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</si>
  <si>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</si>
  <si>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</si>
  <si>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</si>
  <si>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</si>
  <si>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</si>
  <si>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</si>
  <si>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</si>
  <si>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</si>
  <si>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</si>
  <si>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</si>
  <si>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</si>
  <si>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</si>
  <si>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</si>
  <si>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</si>
  <si>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</si>
  <si>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</si>
  <si>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</si>
  <si>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</si>
  <si>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</si>
  <si>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</si>
  <si>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</si>
  <si>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</si>
  <si>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</si>
  <si>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</si>
  <si>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</si>
  <si>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</si>
  <si>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</si>
  <si>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</si>
  <si>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</si>
  <si>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</si>
  <si>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</si>
  <si>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</si>
  <si>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</si>
  <si>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</si>
  <si>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</si>
  <si>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</si>
  <si>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</si>
  <si>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</si>
  <si>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</si>
  <si>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</si>
  <si>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</si>
  <si>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</si>
  <si>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</si>
  <si>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</si>
  <si>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</si>
  <si>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</si>
  <si>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</si>
  <si>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</si>
  <si>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</si>
  <si>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</si>
  <si>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</si>
  <si>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</si>
  <si>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</si>
  <si>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</si>
  <si>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</si>
  <si>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</si>
  <si>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</si>
  <si>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</si>
  <si>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</si>
  <si>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</si>
  <si>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</si>
  <si>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</si>
  <si>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</si>
  <si>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</si>
  <si>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</si>
  <si>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</si>
  <si>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</si>
  <si>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</si>
  <si>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</si>
  <si>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</si>
  <si>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</si>
  <si>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</si>
  <si>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</si>
  <si>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</si>
  <si>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</si>
  <si>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</si>
  <si>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</si>
  <si>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</si>
  <si>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</si>
  <si>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</si>
  <si>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</si>
  <si>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</si>
  <si>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</si>
  <si>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</si>
  <si>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</si>
  <si>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</si>
  <si>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</si>
  <si>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</si>
  <si>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</si>
  <si>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</si>
  <si>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</si>
  <si>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</si>
  <si>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微信堂食-商业码</t>
  </si>
  <si>
    <t>微信堂食-经营码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</si>
  <si>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</si>
  <si>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</si>
  <si>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</si>
  <si>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快驴首充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</si>
  <si>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</si>
  <si>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</si>
  <si>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</si>
  <si>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</si>
  <si>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</si>
  <si>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</si>
  <si>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</si>
  <si>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</si>
  <si>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</si>
  <si>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</si>
  <si>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</si>
  <si>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</si>
  <si>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</si>
  <si>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</si>
  <si>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</si>
  <si>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</si>
  <si>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</si>
  <si>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  <phoneticPr fontId="7" type="noConversion"/>
  </si>
  <si>
    <t>和面机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</si>
</sst>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8" formatCode="#,##0.00_ "/>
    <numFmt numFmtId="179" formatCode="0.00_ ;[Red]\-0.00\ "/>
  </numFmts>
  <fonts count="8" x14ac:knownFonts="1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4"/>
      <color theme="1"/>
      <name val="微软雅黑"/>
      <family val="2"/>
      <charset val="134"/>
    </font>
    <font>
      <sz val="9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5">
    <xf numFmtId="0" fontId="0" fillId="0" borderId="0" xfId="0"/>
    <xf numFmtId="17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9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8" borderId="4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</cellXfs>
  <cellStyles count="1">
    <cellStyle name="常规" xfId="0" builtinId="0"/>
  </cellStyles>
  <dxfs count="5">
    <dxf>
      <alignment horizontal="left"/>
    </dxf>
    <dxf>
      <font>
        <strike val="0"/>
        <sz val="11"/>
        <color theme="1"/>
        <name val="宋体"/>
        <charset val="134"/>
        <scheme val="none"/>
      </font>
    </dxf>
    <dxf>
      <font>
        <strike val="0"/>
        <sz val="11"/>
        <color theme="1"/>
        <name val="宋体"/>
        <charset val="134"/>
        <scheme val="none"/>
      </font>
    </dxf>
    <dxf>
      <font>
        <strike val="0"/>
        <sz val="11"/>
        <color theme="1"/>
        <name val="宋体"/>
        <charset val="134"/>
        <scheme val="none"/>
      </font>
      <numFmt numFmtId="176" formatCode="0.00_);[Red]\(0.00\)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6:C45" totalsRowShown="0">
  <autoFilter ref="A6:C45" xr:uid="{00000000-0009-0000-0100-000001000000}"/>
  <tableColumns count="3">
    <tableColumn id="1" xr3:uid="{00000000-0010-0000-0000-000001000000}" name="金额(元)" dataDxfId="3"/>
    <tableColumn id="2" xr3:uid="{00000000-0010-0000-0000-000002000000}" name="分类" dataDxfId="2"/>
    <tableColumn id="3" xr3:uid="{00000000-0010-0000-0000-000003000000}" name="说明" dataDxfId="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收入明细2602" displayName="收入明细2602" ref="A32:C37" totalsRowShown="0">
  <autoFilter ref="A32:C37" xr:uid="{00000000-0009-0000-0100-000002000000}"/>
  <tableColumns count="3">
    <tableColumn id="1" xr3:uid="{00000000-0010-0000-0100-000001000000}" name="收入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支出明细2602" displayName="支出明细2602" ref="A40:C60" totalsRowShown="0">
  <autoFilter ref="A40:C60" xr:uid="{00000000-0009-0000-0100-000003000000}"/>
  <tableColumns count="3">
    <tableColumn id="1" xr3:uid="{00000000-0010-0000-0200-000001000000}" name="支出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支出明细2603" displayName="支出明细2603" ref="A41:C106">
  <autoFilter ref="A41:C106" xr:uid="{00000000-0009-0000-0100-000004000000}"/>
  <tableColumns count="3">
    <tableColumn id="1" xr3:uid="{00000000-0010-0000-0300-000001000000}" name="支出明细"/>
    <tableColumn id="2" xr3:uid="{00000000-0010-0000-0300-000002000000}" name="分类"/>
    <tableColumn id="3" xr3:uid="{00000000-0010-0000-0300-000003000000}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收入明细2603" displayName="收入明细2603" ref="A32:C38">
  <autoFilter ref="A32:C38" xr:uid="{00000000-0009-0000-0100-000005000000}"/>
  <tableColumns count="3">
    <tableColumn id="1" xr3:uid="{00000000-0010-0000-0400-000001000000}" name="收入明细"/>
    <tableColumn id="2" xr3:uid="{00000000-0010-0000-0400-000002000000}" name="分类"/>
    <tableColumn id="3" xr3:uid="{00000000-0010-0000-0400-000003000000}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支出明细2604" displayName="支出明细2604" ref="A41:C68">
  <autoFilter ref="A41:C68" xr:uid="{00000000-0009-0000-0100-000006000000}">
    <filterColumn colId="1">
      <filters>
        <filter val="食材"/>
      </filters>
    </filterColumn>
  </autoFilter>
  <tableColumns count="3">
    <tableColumn id="1" xr3:uid="{00000000-0010-0000-0500-000001000000}" name="支出明细" dataDxfId="4"/>
    <tableColumn id="2" xr3:uid="{00000000-0010-0000-0500-000002000000}" name="分类"/>
    <tableColumn id="3" xr3:uid="{00000000-0010-0000-0500-000003000000}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收入明细2604" displayName="收入明细2604" ref="A32:C38">
  <autoFilter ref="A32:C38" xr:uid="{00000000-0009-0000-0100-000007000000}"/>
  <tableColumns count="3">
    <tableColumn id="1" xr3:uid="{00000000-0010-0000-0600-000001000000}" name="收入明细"/>
    <tableColumn id="2" xr3:uid="{00000000-0010-0000-0600-000002000000}" name="分类"/>
    <tableColumn id="3" xr3:uid="{00000000-0010-0000-0600-000003000000}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B1324E-8A97-4D05-B7AF-CA7CB2F84277}" name="支出明细26049" displayName="支出明细26049" ref="A41:C46">
  <autoFilter ref="A41:C46" xr:uid="{00000000-0009-0000-0100-000006000000}">
    <filterColumn colId="1">
      <filters>
        <filter val="食材"/>
      </filters>
    </filterColumn>
  </autoFilter>
  <tableColumns count="3">
    <tableColumn id="1" xr3:uid="{61222DA6-3BB4-4651-85B5-252A8F4A9E7C}" name="支出明细" dataDxfId="0"/>
    <tableColumn id="2" xr3:uid="{4C0D873B-A22D-4188-88DE-67D3D989FEFD}" name="分类"/>
    <tableColumn id="3" xr3:uid="{6B1F2991-88CF-4F28-A164-1924081721F9}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92B7BF1-D9B9-4EB8-B06D-F3F5E7240154}" name="收入明细260410" displayName="收入明细260410" ref="A32:C38">
  <autoFilter ref="A32:C38" xr:uid="{00000000-0009-0000-0100-000007000000}"/>
  <tableColumns count="3">
    <tableColumn id="1" xr3:uid="{F00D3E89-3AC6-4E82-9E01-D46B360826E5}" name="收入明细"/>
    <tableColumn id="2" xr3:uid="{B54E7C0A-299D-4CA1-A6D8-790583545257}" name="分类"/>
    <tableColumn id="3" xr3:uid="{2FE0BDD5-4366-4696-A39E-9FBB00F01B58}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5"/>
  <sheetViews>
    <sheetView workbookViewId="0">
      <selection activeCell="B2" sqref="B2"/>
    </sheetView>
  </sheetViews>
  <sheetFormatPr defaultColWidth="30.6640625" defaultRowHeight="25.05" customHeight="1" x14ac:dyDescent="0.25"/>
  <cols>
    <col min="1" max="1" width="30.6640625" style="56" customWidth="1"/>
    <col min="2" max="2" width="30.6640625" style="57" customWidth="1"/>
    <col min="3" max="3" width="30.6640625" style="58" customWidth="1"/>
    <col min="4" max="4" width="30.6640625" style="57" customWidth="1"/>
    <col min="5" max="16384" width="30.6640625" style="57"/>
  </cols>
  <sheetData>
    <row r="1" spans="1:3" ht="25.05" customHeight="1" x14ac:dyDescent="0.25">
      <c r="A1" s="56" t="s">
        <v>0</v>
      </c>
      <c r="B1" s="59">
        <v>100000</v>
      </c>
      <c r="C1" s="57"/>
    </row>
    <row r="2" spans="1:3" ht="25.05" customHeight="1" x14ac:dyDescent="0.25">
      <c r="A2" s="56" t="s">
        <v>1</v>
      </c>
      <c r="B2" s="58">
        <f>SUM(成本明细[金额(元)])</f>
        <v>101248.03000000001</v>
      </c>
      <c r="C2" s="57"/>
    </row>
    <row r="3" spans="1:3" ht="25.05" customHeight="1" x14ac:dyDescent="0.25">
      <c r="A3" s="56" t="s">
        <v>2</v>
      </c>
      <c r="B3" s="58">
        <f>B1-B2</f>
        <v>-1248.0300000000134</v>
      </c>
      <c r="C3" s="57"/>
    </row>
    <row r="6" spans="1:3" ht="25.05" customHeight="1" x14ac:dyDescent="0.25">
      <c r="A6" s="56" t="s">
        <v>3</v>
      </c>
      <c r="B6" s="57" t="s">
        <v>4</v>
      </c>
      <c r="C6" s="58" t="s">
        <v>5</v>
      </c>
    </row>
    <row r="7" spans="1:3" ht="25.05" customHeight="1" x14ac:dyDescent="0.25">
      <c r="A7" s="60">
        <v>10000</v>
      </c>
      <c r="B7" s="57" t="s">
        <v>6</v>
      </c>
      <c r="C7" s="58" t="s">
        <v>7</v>
      </c>
    </row>
    <row r="8" spans="1:3" ht="25.05" customHeight="1" x14ac:dyDescent="0.25">
      <c r="A8" s="60">
        <v>26000</v>
      </c>
      <c r="B8" s="57" t="s">
        <v>6</v>
      </c>
      <c r="C8" s="58" t="s">
        <v>8</v>
      </c>
    </row>
    <row r="9" spans="1:3" ht="25.05" customHeight="1" x14ac:dyDescent="0.25">
      <c r="A9" s="60">
        <v>6000</v>
      </c>
      <c r="B9" s="57" t="s">
        <v>9</v>
      </c>
      <c r="C9" s="58" t="s">
        <v>10</v>
      </c>
    </row>
    <row r="10" spans="1:3" ht="25.05" customHeight="1" x14ac:dyDescent="0.25">
      <c r="A10" s="60">
        <v>3000</v>
      </c>
      <c r="B10" s="57" t="s">
        <v>9</v>
      </c>
      <c r="C10" s="58" t="s">
        <v>11</v>
      </c>
    </row>
    <row r="11" spans="1:3" ht="25.05" customHeight="1" x14ac:dyDescent="0.25">
      <c r="A11" s="60">
        <v>2100</v>
      </c>
      <c r="B11" s="57" t="s">
        <v>9</v>
      </c>
      <c r="C11" s="58" t="s">
        <v>12</v>
      </c>
    </row>
    <row r="12" spans="1:3" ht="25.05" customHeight="1" x14ac:dyDescent="0.25">
      <c r="A12" s="60">
        <v>340</v>
      </c>
      <c r="B12" s="57" t="s">
        <v>9</v>
      </c>
      <c r="C12" s="58" t="s">
        <v>13</v>
      </c>
    </row>
    <row r="13" spans="1:3" ht="25.05" customHeight="1" x14ac:dyDescent="0.25">
      <c r="A13" s="60">
        <v>200</v>
      </c>
      <c r="B13" s="57" t="s">
        <v>14</v>
      </c>
      <c r="C13" s="58" t="s">
        <v>15</v>
      </c>
    </row>
    <row r="14" spans="1:3" ht="25.05" customHeight="1" x14ac:dyDescent="0.25">
      <c r="A14" s="60">
        <v>11000</v>
      </c>
      <c r="B14" s="57" t="s">
        <v>16</v>
      </c>
      <c r="C14" s="58" t="s">
        <v>17</v>
      </c>
    </row>
    <row r="15" spans="1:3" ht="25.05" customHeight="1" x14ac:dyDescent="0.25">
      <c r="A15" s="60">
        <v>5000</v>
      </c>
      <c r="B15" s="57" t="s">
        <v>9</v>
      </c>
      <c r="C15" s="58" t="s">
        <v>18</v>
      </c>
    </row>
    <row r="16" spans="1:3" ht="25.05" customHeight="1" x14ac:dyDescent="0.25">
      <c r="A16" s="60">
        <v>755</v>
      </c>
      <c r="B16" s="57" t="s">
        <v>16</v>
      </c>
      <c r="C16" s="58" t="s">
        <v>19</v>
      </c>
    </row>
    <row r="17" spans="1:3" ht="25.05" customHeight="1" x14ac:dyDescent="0.25">
      <c r="A17" s="60">
        <v>190</v>
      </c>
      <c r="B17" s="57" t="s">
        <v>9</v>
      </c>
      <c r="C17" s="58" t="s">
        <v>20</v>
      </c>
    </row>
    <row r="18" spans="1:3" ht="25.05" customHeight="1" x14ac:dyDescent="0.25">
      <c r="A18" s="60">
        <v>405.9</v>
      </c>
      <c r="B18" s="57" t="s">
        <v>16</v>
      </c>
      <c r="C18" s="58" t="s">
        <v>21</v>
      </c>
    </row>
    <row r="19" spans="1:3" ht="25.05" customHeight="1" x14ac:dyDescent="0.25">
      <c r="A19" s="60">
        <v>228</v>
      </c>
      <c r="B19" s="57" t="s">
        <v>16</v>
      </c>
      <c r="C19" s="58" t="s">
        <v>22</v>
      </c>
    </row>
    <row r="20" spans="1:3" ht="25.05" customHeight="1" x14ac:dyDescent="0.25">
      <c r="A20" s="60">
        <v>639.5</v>
      </c>
      <c r="B20" s="57" t="s">
        <v>16</v>
      </c>
      <c r="C20" s="58" t="s">
        <v>23</v>
      </c>
    </row>
    <row r="21" spans="1:3" ht="25.05" customHeight="1" x14ac:dyDescent="0.25">
      <c r="A21" s="60">
        <v>1259.0999999999999</v>
      </c>
      <c r="B21" s="57" t="s">
        <v>16</v>
      </c>
      <c r="C21" s="58" t="s">
        <v>24</v>
      </c>
    </row>
    <row r="22" spans="1:3" ht="25.05" customHeight="1" x14ac:dyDescent="0.25">
      <c r="A22" s="60">
        <v>1000</v>
      </c>
      <c r="B22" s="57" t="s">
        <v>25</v>
      </c>
      <c r="C22" s="58" t="s">
        <v>26</v>
      </c>
    </row>
    <row r="23" spans="1:3" ht="25.05" customHeight="1" x14ac:dyDescent="0.25">
      <c r="A23" s="60">
        <v>13260</v>
      </c>
      <c r="B23" s="57" t="s">
        <v>25</v>
      </c>
      <c r="C23" s="58" t="s">
        <v>27</v>
      </c>
    </row>
    <row r="24" spans="1:3" ht="25.05" customHeight="1" x14ac:dyDescent="0.25">
      <c r="A24" s="60">
        <v>47.97</v>
      </c>
      <c r="B24" s="57" t="s">
        <v>14</v>
      </c>
      <c r="C24" s="58" t="s">
        <v>28</v>
      </c>
    </row>
    <row r="25" spans="1:3" ht="25.05" customHeight="1" x14ac:dyDescent="0.25">
      <c r="A25" s="60">
        <v>276.10000000000002</v>
      </c>
      <c r="B25" s="57" t="s">
        <v>14</v>
      </c>
      <c r="C25" s="58" t="s">
        <v>29</v>
      </c>
    </row>
    <row r="26" spans="1:3" ht="25.05" customHeight="1" x14ac:dyDescent="0.25">
      <c r="A26" s="60">
        <v>6000</v>
      </c>
      <c r="B26" s="57" t="s">
        <v>9</v>
      </c>
      <c r="C26" s="58" t="s">
        <v>30</v>
      </c>
    </row>
    <row r="27" spans="1:3" ht="25.05" customHeight="1" x14ac:dyDescent="0.25">
      <c r="A27" s="60">
        <v>640</v>
      </c>
      <c r="B27" s="57" t="s">
        <v>9</v>
      </c>
      <c r="C27" s="58" t="s">
        <v>31</v>
      </c>
    </row>
    <row r="28" spans="1:3" ht="25.05" customHeight="1" x14ac:dyDescent="0.25">
      <c r="A28" s="60">
        <v>500</v>
      </c>
      <c r="B28" s="57" t="s">
        <v>32</v>
      </c>
      <c r="C28" s="58" t="s">
        <v>33</v>
      </c>
    </row>
    <row r="29" spans="1:3" ht="25.05" customHeight="1" x14ac:dyDescent="0.25">
      <c r="A29" s="60">
        <v>600</v>
      </c>
      <c r="B29" s="57" t="s">
        <v>32</v>
      </c>
      <c r="C29" s="58" t="s">
        <v>34</v>
      </c>
    </row>
    <row r="30" spans="1:3" ht="25.05" customHeight="1" x14ac:dyDescent="0.25">
      <c r="A30" s="60">
        <v>938</v>
      </c>
      <c r="B30" s="57" t="s">
        <v>25</v>
      </c>
      <c r="C30" s="58" t="s">
        <v>35</v>
      </c>
    </row>
    <row r="31" spans="1:3" ht="25.05" customHeight="1" x14ac:dyDescent="0.25">
      <c r="A31" s="60">
        <v>1000</v>
      </c>
      <c r="B31" s="57" t="s">
        <v>25</v>
      </c>
      <c r="C31" s="58" t="s">
        <v>26</v>
      </c>
    </row>
    <row r="32" spans="1:3" ht="25.05" customHeight="1" x14ac:dyDescent="0.25">
      <c r="A32" s="60">
        <v>60.5</v>
      </c>
      <c r="B32" s="57" t="s">
        <v>25</v>
      </c>
      <c r="C32" s="58" t="s">
        <v>36</v>
      </c>
    </row>
    <row r="33" spans="1:3" ht="25.05" customHeight="1" x14ac:dyDescent="0.25">
      <c r="A33" s="60">
        <v>162.41</v>
      </c>
      <c r="B33" s="57" t="s">
        <v>37</v>
      </c>
      <c r="C33" s="58" t="s">
        <v>38</v>
      </c>
    </row>
    <row r="34" spans="1:3" ht="25.05" customHeight="1" x14ac:dyDescent="0.25">
      <c r="A34" s="60">
        <v>42.16</v>
      </c>
      <c r="B34" s="57" t="s">
        <v>25</v>
      </c>
      <c r="C34" s="58" t="s">
        <v>35</v>
      </c>
    </row>
    <row r="35" spans="1:3" ht="25.05" customHeight="1" x14ac:dyDescent="0.25">
      <c r="A35" s="60">
        <v>1000</v>
      </c>
      <c r="B35" s="57" t="s">
        <v>25</v>
      </c>
      <c r="C35" s="58" t="s">
        <v>26</v>
      </c>
    </row>
    <row r="36" spans="1:3" ht="25.05" customHeight="1" x14ac:dyDescent="0.25">
      <c r="A36" s="60">
        <v>500</v>
      </c>
      <c r="B36" s="57" t="s">
        <v>9</v>
      </c>
      <c r="C36" s="58" t="s">
        <v>39</v>
      </c>
    </row>
    <row r="37" spans="1:3" ht="25.05" customHeight="1" x14ac:dyDescent="0.25">
      <c r="A37" s="60">
        <v>1300</v>
      </c>
      <c r="B37" s="57" t="s">
        <v>25</v>
      </c>
      <c r="C37" s="58" t="s">
        <v>40</v>
      </c>
    </row>
    <row r="38" spans="1:3" ht="25.05" customHeight="1" x14ac:dyDescent="0.25">
      <c r="A38" s="60">
        <v>253.84</v>
      </c>
      <c r="B38" s="57" t="s">
        <v>25</v>
      </c>
      <c r="C38" s="58" t="s">
        <v>36</v>
      </c>
    </row>
    <row r="39" spans="1:3" ht="25.05" customHeight="1" x14ac:dyDescent="0.25">
      <c r="A39" s="60">
        <v>1000</v>
      </c>
      <c r="B39" s="57" t="s">
        <v>25</v>
      </c>
      <c r="C39" s="58" t="s">
        <v>26</v>
      </c>
    </row>
    <row r="40" spans="1:3" ht="25.05" customHeight="1" x14ac:dyDescent="0.25">
      <c r="A40" s="60">
        <v>355.3</v>
      </c>
      <c r="B40" s="57" t="s">
        <v>25</v>
      </c>
      <c r="C40" s="58" t="s">
        <v>36</v>
      </c>
    </row>
    <row r="41" spans="1:3" ht="25.05" customHeight="1" x14ac:dyDescent="0.25">
      <c r="A41" s="60">
        <v>3000</v>
      </c>
      <c r="B41" s="57" t="s">
        <v>25</v>
      </c>
      <c r="C41" s="58" t="s">
        <v>41</v>
      </c>
    </row>
    <row r="42" spans="1:3" ht="25.05" customHeight="1" x14ac:dyDescent="0.25">
      <c r="A42" s="60">
        <v>174</v>
      </c>
      <c r="B42" s="57" t="s">
        <v>25</v>
      </c>
      <c r="C42" s="58" t="s">
        <v>36</v>
      </c>
    </row>
    <row r="43" spans="1:3" ht="25.05" customHeight="1" x14ac:dyDescent="0.25">
      <c r="A43" s="60">
        <v>33.6</v>
      </c>
      <c r="B43" s="57" t="s">
        <v>14</v>
      </c>
      <c r="C43" s="58" t="s">
        <v>42</v>
      </c>
    </row>
    <row r="44" spans="1:3" ht="25.05" customHeight="1" x14ac:dyDescent="0.25">
      <c r="A44" s="60">
        <v>500</v>
      </c>
      <c r="B44" s="57" t="s">
        <v>25</v>
      </c>
      <c r="C44" s="58" t="s">
        <v>26</v>
      </c>
    </row>
    <row r="45" spans="1:3" ht="25.05" customHeight="1" x14ac:dyDescent="0.25">
      <c r="A45" s="60">
        <v>1486.65</v>
      </c>
      <c r="B45" s="60" t="s">
        <v>16</v>
      </c>
      <c r="C45" s="60" t="s">
        <v>43</v>
      </c>
    </row>
  </sheetData>
  <phoneticPr fontId="7" type="noConversion"/>
  <dataValidations count="2">
    <dataValidation type="list" allowBlank="1" showInputMessage="1" showErrorMessage="1" sqref="F16:F17" xr:uid="{00000000-0002-0000-0000-000000000000}">
      <formula1>"房租，装修，其他，设备，食材，推广，水电"</formula1>
    </dataValidation>
    <dataValidation type="list" allowBlank="1" showInputMessage="1" showErrorMessage="1" sqref="F5 B44 B45 B7:B43 F6:F15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D60"/>
  <sheetViews>
    <sheetView workbookViewId="0">
      <selection activeCell="B6" sqref="B6"/>
    </sheetView>
  </sheetViews>
  <sheetFormatPr defaultColWidth="30.6640625" defaultRowHeight="25.05" customHeight="1" x14ac:dyDescent="0.25"/>
  <cols>
    <col min="1" max="2" width="30.6640625" style="29" customWidth="1"/>
    <col min="3" max="3" width="30.6640625" style="30" customWidth="1"/>
    <col min="4" max="4" width="30.6640625" style="29" customWidth="1"/>
    <col min="5" max="16384" width="30.6640625" style="29"/>
  </cols>
  <sheetData>
    <row r="1" spans="1:3" s="3" customFormat="1" ht="25.05" customHeight="1" x14ac:dyDescent="0.25">
      <c r="A1" s="68" t="s">
        <v>44</v>
      </c>
      <c r="B1" s="62"/>
      <c r="C1" s="69"/>
    </row>
    <row r="2" spans="1:3" ht="25.05" customHeight="1" x14ac:dyDescent="0.25">
      <c r="A2" s="31" t="s">
        <v>45</v>
      </c>
      <c r="B2" s="31" t="s">
        <v>46</v>
      </c>
      <c r="C2" s="32" t="s">
        <v>47</v>
      </c>
    </row>
    <row r="3" spans="1:3" ht="25.05" customHeight="1" x14ac:dyDescent="0.25">
      <c r="A3" s="33" t="s">
        <v>48</v>
      </c>
      <c r="B3" s="34">
        <f>SUM(收入明细2602[收入明细])</f>
        <v>42435.74</v>
      </c>
      <c r="C3" s="33" t="s">
        <v>49</v>
      </c>
    </row>
    <row r="4" spans="1:3" ht="25.05" customHeight="1" x14ac:dyDescent="0.25">
      <c r="A4" s="35" t="s">
        <v>50</v>
      </c>
      <c r="B4" s="36">
        <f>SUM(支出明细2602[支出明细])</f>
        <v>40327.81</v>
      </c>
      <c r="C4" s="35" t="s">
        <v>49</v>
      </c>
    </row>
    <row r="5" spans="1:3" ht="25.05" customHeight="1" x14ac:dyDescent="0.25">
      <c r="A5" s="37" t="s">
        <v>51</v>
      </c>
      <c r="B5" s="38">
        <f>$B$3-SUMIF(支出明细2602[分类],"食材",支出明细2602[支出明细])</f>
        <v>18551.939999999999</v>
      </c>
      <c r="C5" s="37" t="s">
        <v>49</v>
      </c>
    </row>
    <row r="6" spans="1:3" ht="25.05" customHeight="1" x14ac:dyDescent="0.25">
      <c r="A6" s="37" t="s">
        <v>52</v>
      </c>
      <c r="B6" s="38">
        <f>$B$3-$B$4</f>
        <v>2107.9300000000003</v>
      </c>
      <c r="C6" s="37" t="s">
        <v>49</v>
      </c>
    </row>
    <row r="7" spans="1:3" ht="25.05" customHeight="1" x14ac:dyDescent="0.25">
      <c r="A7" s="37" t="s">
        <v>53</v>
      </c>
      <c r="B7" s="39">
        <f>$B$5/$B$3</f>
        <v>0.43717724729202317</v>
      </c>
      <c r="C7" s="39" t="s">
        <v>54</v>
      </c>
    </row>
    <row r="8" spans="1:3" ht="25.05" customHeight="1" x14ac:dyDescent="0.25">
      <c r="A8" s="37" t="s">
        <v>55</v>
      </c>
      <c r="B8" s="39">
        <f>$B$6/$B$3</f>
        <v>4.9673459211504276E-2</v>
      </c>
      <c r="C8" s="39" t="s">
        <v>54</v>
      </c>
    </row>
    <row r="11" spans="1:3" ht="25.05" customHeight="1" x14ac:dyDescent="0.25">
      <c r="A11" s="70" t="s">
        <v>56</v>
      </c>
      <c r="B11" s="71"/>
      <c r="C11" s="72"/>
    </row>
    <row r="12" spans="1:3" ht="25.05" customHeight="1" x14ac:dyDescent="0.25">
      <c r="A12" s="40" t="s">
        <v>57</v>
      </c>
      <c r="B12" s="40" t="s">
        <v>58</v>
      </c>
      <c r="C12" s="40" t="s">
        <v>59</v>
      </c>
    </row>
    <row r="13" spans="1:3" ht="25.05" customHeight="1" x14ac:dyDescent="0.25">
      <c r="A13" s="37" t="s">
        <v>60</v>
      </c>
      <c r="B13" s="38">
        <f>SUMIF(收入明细2602[分类],"淘宝外卖",收入明细2602[收入明细])</f>
        <v>19919.099999999999</v>
      </c>
      <c r="C13" s="39">
        <f>$B$13/$B$3</f>
        <v>0.46939443026090744</v>
      </c>
    </row>
    <row r="14" spans="1:3" ht="25.05" customHeight="1" x14ac:dyDescent="0.25">
      <c r="A14" s="41" t="s">
        <v>61</v>
      </c>
      <c r="B14" s="42">
        <f>SUMIF(收入明细2602[分类],"美团外卖",收入明细2602[收入明细])</f>
        <v>13970.88</v>
      </c>
      <c r="C14" s="43">
        <f>$B$14/$B$3</f>
        <v>0.32922437549103656</v>
      </c>
    </row>
    <row r="15" spans="1:3" ht="25.05" customHeight="1" x14ac:dyDescent="0.25">
      <c r="A15" s="37" t="s">
        <v>62</v>
      </c>
      <c r="B15" s="38">
        <f>SUMIF(收入明细2602[分类],"微信堂食",收入明细2602[收入明细])</f>
        <v>6683.96</v>
      </c>
      <c r="C15" s="39">
        <f>$B$15/$B$3</f>
        <v>0.15750779885068578</v>
      </c>
    </row>
    <row r="16" spans="1:3" ht="25.05" customHeight="1" x14ac:dyDescent="0.25">
      <c r="A16" s="41" t="s">
        <v>63</v>
      </c>
      <c r="B16" s="42">
        <f>SUMIF(收入明细2602[分类],"支付宝堂食",收入明细2602[收入明细])</f>
        <v>1861.8</v>
      </c>
      <c r="C16" s="43">
        <f>$B$16/$B$3</f>
        <v>4.3873395397370236E-2</v>
      </c>
    </row>
    <row r="17" spans="1:3" ht="25.05" customHeight="1" x14ac:dyDescent="0.25">
      <c r="A17" s="37" t="s">
        <v>64</v>
      </c>
      <c r="B17" s="38">
        <f>SUMIF(收入明细2602[分类],"京东外卖",收入明细2602[收入明细])</f>
        <v>0</v>
      </c>
      <c r="C17" s="39">
        <f>$B$17/$B$3</f>
        <v>0</v>
      </c>
    </row>
    <row r="18" spans="1:3" ht="25.05" customHeight="1" x14ac:dyDescent="0.25">
      <c r="A18" s="44" t="s">
        <v>65</v>
      </c>
      <c r="B18" s="45">
        <f>SUM(收入明细2602[收入明细])</f>
        <v>42435.74</v>
      </c>
      <c r="C18" s="46">
        <f>SUM($C$13:$C$17)</f>
        <v>1</v>
      </c>
    </row>
    <row r="21" spans="1:3" ht="25.05" customHeight="1" x14ac:dyDescent="0.25">
      <c r="A21" s="73" t="s">
        <v>66</v>
      </c>
      <c r="B21" s="71"/>
      <c r="C21" s="72"/>
    </row>
    <row r="22" spans="1:3" ht="25.05" customHeight="1" x14ac:dyDescent="0.25">
      <c r="A22" s="47" t="s">
        <v>67</v>
      </c>
      <c r="B22" s="47" t="s">
        <v>58</v>
      </c>
      <c r="C22" s="47" t="s">
        <v>59</v>
      </c>
    </row>
    <row r="23" spans="1:3" ht="25.05" customHeight="1" x14ac:dyDescent="0.25">
      <c r="A23" s="41" t="s">
        <v>25</v>
      </c>
      <c r="B23" s="42">
        <f>SUMIF(支出明细2602[分类],"食材",支出明细2602[支出明细])</f>
        <v>23883.8</v>
      </c>
      <c r="C23" s="43">
        <f>$B$23/$B$4</f>
        <v>0.59224143339298618</v>
      </c>
    </row>
    <row r="24" spans="1:3" ht="25.05" customHeight="1" x14ac:dyDescent="0.25">
      <c r="A24" s="37" t="s">
        <v>68</v>
      </c>
      <c r="B24" s="38">
        <f>SUMIF(支出明细2602[分类],"工资",支出明细2602[支出明细])</f>
        <v>8500</v>
      </c>
      <c r="C24" s="39">
        <f>$B$24/$B$4</f>
        <v>0.21077266531458069</v>
      </c>
    </row>
    <row r="25" spans="1:3" ht="25.05" customHeight="1" x14ac:dyDescent="0.25">
      <c r="A25" s="41" t="s">
        <v>6</v>
      </c>
      <c r="B25" s="42">
        <f>SUMIF(支出明细2602[分类],"房租",支出明细2602[支出明细])</f>
        <v>4333</v>
      </c>
      <c r="C25" s="43">
        <f>$B$25/$B$4</f>
        <v>0.10744446574212684</v>
      </c>
    </row>
    <row r="26" spans="1:3" ht="25.05" customHeight="1" x14ac:dyDescent="0.25">
      <c r="A26" s="37" t="s">
        <v>32</v>
      </c>
      <c r="B26" s="38">
        <f>SUMIF(支出明细2602[分类],"推广",支出明细2602[支出明细])</f>
        <v>600</v>
      </c>
      <c r="C26" s="39">
        <f>$B$26/$B$4</f>
        <v>1.4878070492793931E-2</v>
      </c>
    </row>
    <row r="27" spans="1:3" ht="25.05" customHeight="1" x14ac:dyDescent="0.25">
      <c r="A27" s="41" t="s">
        <v>37</v>
      </c>
      <c r="B27" s="42">
        <f>SUMIF(支出明细2602[分类],"水电",支出明细2602[支出明细])</f>
        <v>2977.41</v>
      </c>
      <c r="C27" s="43">
        <f>$B$27/$B$4</f>
        <v>7.3830193109915968E-2</v>
      </c>
    </row>
    <row r="28" spans="1:3" ht="25.05" customHeight="1" x14ac:dyDescent="0.25">
      <c r="A28" s="37" t="s">
        <v>14</v>
      </c>
      <c r="B28" s="38">
        <f>SUMIF(支出明细2602[分类],"其他",支出明细2602[支出明细])</f>
        <v>33.6</v>
      </c>
      <c r="C28" s="39">
        <f>$B$28/$B$4</f>
        <v>8.3317194759646024E-4</v>
      </c>
    </row>
    <row r="29" spans="1:3" ht="25.05" customHeight="1" x14ac:dyDescent="0.25">
      <c r="A29" s="48" t="s">
        <v>65</v>
      </c>
      <c r="B29" s="49">
        <f>SUM(支出明细2602[支出明细])</f>
        <v>40327.81</v>
      </c>
      <c r="C29" s="50">
        <f>SUM($C$23:$C$28)</f>
        <v>1</v>
      </c>
    </row>
    <row r="32" spans="1:3" ht="25.05" customHeight="1" x14ac:dyDescent="0.25">
      <c r="A32" s="51" t="s">
        <v>69</v>
      </c>
      <c r="B32" s="29" t="s">
        <v>4</v>
      </c>
      <c r="C32" s="52" t="s">
        <v>5</v>
      </c>
    </row>
    <row r="33" spans="1:4" ht="25.05" customHeight="1" x14ac:dyDescent="0.25">
      <c r="A33" s="53">
        <v>6683.96</v>
      </c>
      <c r="B33" s="29" t="s">
        <v>62</v>
      </c>
      <c r="C33" s="54"/>
    </row>
    <row r="34" spans="1:4" ht="25.05" customHeight="1" x14ac:dyDescent="0.25">
      <c r="A34" s="53">
        <v>1861.8</v>
      </c>
      <c r="B34" s="29" t="s">
        <v>63</v>
      </c>
      <c r="C34" s="54"/>
    </row>
    <row r="35" spans="1:4" ht="25.05" customHeight="1" x14ac:dyDescent="0.25">
      <c r="A35" s="53">
        <v>0</v>
      </c>
      <c r="B35" s="29" t="s">
        <v>64</v>
      </c>
      <c r="C35" s="54" t="s">
        <v>70</v>
      </c>
    </row>
    <row r="36" spans="1:4" ht="25.05" customHeight="1" x14ac:dyDescent="0.25">
      <c r="A36" s="53">
        <v>19919.099999999999</v>
      </c>
      <c r="B36" s="29" t="s">
        <v>60</v>
      </c>
      <c r="C36" s="54"/>
    </row>
    <row r="37" spans="1:4" ht="25.05" customHeight="1" x14ac:dyDescent="0.25">
      <c r="A37" s="53">
        <v>13970.88</v>
      </c>
      <c r="B37" s="29" t="s">
        <v>61</v>
      </c>
      <c r="C37" s="54"/>
    </row>
    <row r="40" spans="1:4" ht="25.05" customHeight="1" x14ac:dyDescent="0.25">
      <c r="A40" s="55" t="s">
        <v>71</v>
      </c>
      <c r="B40" s="52" t="s">
        <v>4</v>
      </c>
      <c r="C40" s="54" t="s">
        <v>5</v>
      </c>
      <c r="D40" s="3"/>
    </row>
    <row r="41" spans="1:4" ht="25.05" customHeight="1" x14ac:dyDescent="0.25">
      <c r="A41" s="55">
        <v>4333</v>
      </c>
      <c r="B41" s="52" t="s">
        <v>6</v>
      </c>
      <c r="C41" s="54" t="s">
        <v>72</v>
      </c>
      <c r="D41" s="3"/>
    </row>
    <row r="42" spans="1:4" ht="25.05" customHeight="1" x14ac:dyDescent="0.25">
      <c r="A42" s="55">
        <v>8500</v>
      </c>
      <c r="B42" s="52" t="s">
        <v>68</v>
      </c>
      <c r="C42" s="54" t="s">
        <v>73</v>
      </c>
      <c r="D42" s="3"/>
    </row>
    <row r="43" spans="1:4" ht="25.05" customHeight="1" x14ac:dyDescent="0.25">
      <c r="A43" s="55">
        <v>1000</v>
      </c>
      <c r="B43" s="52" t="s">
        <v>25</v>
      </c>
      <c r="C43" s="54" t="s">
        <v>26</v>
      </c>
      <c r="D43" s="3"/>
    </row>
    <row r="44" spans="1:4" ht="25.05" customHeight="1" x14ac:dyDescent="0.25">
      <c r="A44" s="55">
        <v>13260</v>
      </c>
      <c r="B44" s="52" t="s">
        <v>25</v>
      </c>
      <c r="C44" s="54" t="s">
        <v>27</v>
      </c>
      <c r="D44" s="3"/>
    </row>
    <row r="45" spans="1:4" ht="25.05" customHeight="1" x14ac:dyDescent="0.25">
      <c r="A45" s="55">
        <v>600</v>
      </c>
      <c r="B45" s="52" t="s">
        <v>32</v>
      </c>
      <c r="C45" s="54" t="s">
        <v>34</v>
      </c>
      <c r="D45" s="3"/>
    </row>
    <row r="46" spans="1:4" ht="25.05" customHeight="1" x14ac:dyDescent="0.25">
      <c r="A46" s="55">
        <v>938</v>
      </c>
      <c r="B46" s="52" t="s">
        <v>25</v>
      </c>
      <c r="C46" s="54" t="s">
        <v>35</v>
      </c>
      <c r="D46" s="3"/>
    </row>
    <row r="47" spans="1:4" ht="25.05" customHeight="1" x14ac:dyDescent="0.25">
      <c r="A47" s="55">
        <v>1000</v>
      </c>
      <c r="B47" s="52" t="s">
        <v>25</v>
      </c>
      <c r="C47" s="54" t="s">
        <v>26</v>
      </c>
      <c r="D47" s="3"/>
    </row>
    <row r="48" spans="1:4" ht="25.05" customHeight="1" x14ac:dyDescent="0.25">
      <c r="A48" s="55">
        <v>60.5</v>
      </c>
      <c r="B48" s="52" t="s">
        <v>25</v>
      </c>
      <c r="C48" s="54" t="s">
        <v>36</v>
      </c>
      <c r="D48" s="3"/>
    </row>
    <row r="49" spans="1:4" ht="25.05" customHeight="1" x14ac:dyDescent="0.25">
      <c r="A49" s="55">
        <v>162.41</v>
      </c>
      <c r="B49" s="52" t="s">
        <v>37</v>
      </c>
      <c r="C49" s="54" t="s">
        <v>74</v>
      </c>
      <c r="D49" s="3"/>
    </row>
    <row r="50" spans="1:4" ht="25.05" customHeight="1" x14ac:dyDescent="0.25">
      <c r="A50" s="55">
        <v>2815</v>
      </c>
      <c r="B50" s="52" t="s">
        <v>37</v>
      </c>
      <c r="C50" s="54" t="s">
        <v>75</v>
      </c>
      <c r="D50" s="3"/>
    </row>
    <row r="51" spans="1:4" ht="25.05" customHeight="1" x14ac:dyDescent="0.25">
      <c r="A51" s="55">
        <v>42.16</v>
      </c>
      <c r="B51" s="52" t="s">
        <v>25</v>
      </c>
      <c r="C51" s="54" t="s">
        <v>35</v>
      </c>
      <c r="D51" s="3"/>
    </row>
    <row r="52" spans="1:4" ht="25.05" customHeight="1" x14ac:dyDescent="0.25">
      <c r="A52" s="55">
        <v>1000</v>
      </c>
      <c r="B52" s="52" t="s">
        <v>25</v>
      </c>
      <c r="C52" s="54" t="s">
        <v>26</v>
      </c>
      <c r="D52" s="3"/>
    </row>
    <row r="53" spans="1:4" ht="25.05" customHeight="1" x14ac:dyDescent="0.25">
      <c r="A53" s="55">
        <v>1300</v>
      </c>
      <c r="B53" s="52" t="s">
        <v>25</v>
      </c>
      <c r="C53" s="54" t="s">
        <v>76</v>
      </c>
      <c r="D53" s="3"/>
    </row>
    <row r="54" spans="1:4" ht="25.05" customHeight="1" x14ac:dyDescent="0.25">
      <c r="A54" s="55">
        <v>253.84</v>
      </c>
      <c r="B54" s="52" t="s">
        <v>25</v>
      </c>
      <c r="C54" s="54" t="s">
        <v>36</v>
      </c>
      <c r="D54" s="3"/>
    </row>
    <row r="55" spans="1:4" ht="25.05" customHeight="1" x14ac:dyDescent="0.25">
      <c r="A55" s="55">
        <v>1000</v>
      </c>
      <c r="B55" s="52" t="s">
        <v>25</v>
      </c>
      <c r="C55" s="54" t="s">
        <v>26</v>
      </c>
      <c r="D55" s="3"/>
    </row>
    <row r="56" spans="1:4" ht="25.05" customHeight="1" x14ac:dyDescent="0.25">
      <c r="A56" s="55">
        <v>355.3</v>
      </c>
      <c r="B56" s="52" t="s">
        <v>25</v>
      </c>
      <c r="C56" s="54" t="s">
        <v>36</v>
      </c>
      <c r="D56" s="3"/>
    </row>
    <row r="57" spans="1:4" ht="25.05" customHeight="1" x14ac:dyDescent="0.25">
      <c r="A57" s="55">
        <v>3000</v>
      </c>
      <c r="B57" s="52" t="s">
        <v>25</v>
      </c>
      <c r="C57" s="54" t="s">
        <v>41</v>
      </c>
      <c r="D57" s="3"/>
    </row>
    <row r="58" spans="1:4" ht="25.05" customHeight="1" x14ac:dyDescent="0.25">
      <c r="A58" s="55">
        <v>174</v>
      </c>
      <c r="B58" s="52" t="s">
        <v>25</v>
      </c>
      <c r="C58" s="54" t="s">
        <v>36</v>
      </c>
      <c r="D58" s="3"/>
    </row>
    <row r="59" spans="1:4" ht="25.05" customHeight="1" x14ac:dyDescent="0.25">
      <c r="A59" s="55">
        <v>33.6</v>
      </c>
      <c r="B59" s="52" t="s">
        <v>14</v>
      </c>
      <c r="C59" s="54" t="s">
        <v>42</v>
      </c>
      <c r="D59" s="3"/>
    </row>
    <row r="60" spans="1:4" ht="25.05" customHeight="1" x14ac:dyDescent="0.25">
      <c r="A60" s="55">
        <v>500</v>
      </c>
      <c r="B60" s="52" t="s">
        <v>25</v>
      </c>
      <c r="C60" s="54" t="s">
        <v>26</v>
      </c>
      <c r="D60" s="3"/>
    </row>
  </sheetData>
  <mergeCells count="3">
    <mergeCell ref="A1:C1"/>
    <mergeCell ref="A11:C11"/>
    <mergeCell ref="A21:C21"/>
  </mergeCells>
  <phoneticPr fontId="7" type="noConversion"/>
  <dataValidations count="2">
    <dataValidation type="list" allowBlank="1" showInputMessage="1" showErrorMessage="1" sqref="B56:B60" xr:uid="{00000000-0002-0000-0100-000000000000}">
      <formula1>"房租,装修,其他,设备,食材,推广,水电"</formula1>
    </dataValidation>
    <dataValidation type="list" allowBlank="1" showInputMessage="1" showErrorMessage="1" sqref="B50 B41:B49 B51:B55" xr:uid="{00000000-0002-0000-0100-000001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106"/>
  <sheetViews>
    <sheetView topLeftCell="A12" workbookViewId="0">
      <selection activeCell="B81" sqref="B81"/>
    </sheetView>
  </sheetViews>
  <sheetFormatPr defaultColWidth="30.6640625" defaultRowHeight="25.05" customHeight="1" x14ac:dyDescent="0.25"/>
  <cols>
    <col min="1" max="1" width="30.6640625" style="2" customWidth="1"/>
    <col min="2" max="16384" width="30.6640625" style="2"/>
  </cols>
  <sheetData>
    <row r="1" spans="1:3" ht="25.05" customHeight="1" x14ac:dyDescent="0.25">
      <c r="A1" s="61" t="s">
        <v>44</v>
      </c>
      <c r="B1" s="62"/>
      <c r="C1" s="62"/>
    </row>
    <row r="2" spans="1:3" ht="25.05" customHeight="1" x14ac:dyDescent="0.25">
      <c r="A2" s="4" t="s">
        <v>45</v>
      </c>
      <c r="B2" s="4" t="s">
        <v>46</v>
      </c>
      <c r="C2" s="4" t="s">
        <v>47</v>
      </c>
    </row>
    <row r="3" spans="1:3" ht="25.05" customHeight="1" x14ac:dyDescent="0.25">
      <c r="A3" s="5" t="s">
        <v>48</v>
      </c>
      <c r="B3" s="6">
        <f>SUM(收入明细2603[收入明细])</f>
        <v>73829.049999999988</v>
      </c>
      <c r="C3" s="5" t="s">
        <v>49</v>
      </c>
    </row>
    <row r="4" spans="1:3" ht="25.05" customHeight="1" x14ac:dyDescent="0.25">
      <c r="A4" s="7" t="s">
        <v>50</v>
      </c>
      <c r="B4" s="8">
        <f>SUM(支出明细2603[支出明细])</f>
        <v>68152.7</v>
      </c>
      <c r="C4" s="7" t="s">
        <v>49</v>
      </c>
    </row>
    <row r="5" spans="1:3" ht="25.05" customHeight="1" x14ac:dyDescent="0.25">
      <c r="A5" s="9" t="s">
        <v>51</v>
      </c>
      <c r="B5" s="10">
        <f>$B$3-SUMIF(支出明细2603[分类],"食材",支出明细2603[支出明细])</f>
        <v>30354.239999999998</v>
      </c>
      <c r="C5" s="9" t="s">
        <v>49</v>
      </c>
    </row>
    <row r="6" spans="1:3" ht="25.05" customHeight="1" x14ac:dyDescent="0.25">
      <c r="A6" s="9" t="s">
        <v>52</v>
      </c>
      <c r="B6" s="10">
        <f>$B$3-$B$4</f>
        <v>5676.3499999999913</v>
      </c>
      <c r="C6" s="9" t="s">
        <v>49</v>
      </c>
    </row>
    <row r="7" spans="1:3" ht="25.05" customHeight="1" x14ac:dyDescent="0.25">
      <c r="A7" s="9" t="s">
        <v>53</v>
      </c>
      <c r="B7" s="11">
        <f>$B$5/$B$3</f>
        <v>0.41114222653548982</v>
      </c>
      <c r="C7" s="9" t="s">
        <v>54</v>
      </c>
    </row>
    <row r="8" spans="1:3" ht="25.05" customHeight="1" x14ac:dyDescent="0.25">
      <c r="A8" s="9" t="s">
        <v>55</v>
      </c>
      <c r="B8" s="11">
        <f>$B$6/$B$3</f>
        <v>7.6885047281523899E-2</v>
      </c>
      <c r="C8" s="9" t="s">
        <v>54</v>
      </c>
    </row>
    <row r="9" spans="1:3" ht="25.05" customHeight="1" x14ac:dyDescent="0.25">
      <c r="A9" s="3"/>
      <c r="B9" s="3"/>
      <c r="C9" s="3"/>
    </row>
    <row r="11" spans="1:3" ht="25.05" customHeight="1" x14ac:dyDescent="0.25">
      <c r="A11" s="63" t="s">
        <v>56</v>
      </c>
      <c r="B11" s="62"/>
      <c r="C11" s="62"/>
    </row>
    <row r="12" spans="1:3" ht="25.05" customHeight="1" x14ac:dyDescent="0.25">
      <c r="A12" s="13" t="s">
        <v>57</v>
      </c>
      <c r="B12" s="13" t="s">
        <v>58</v>
      </c>
      <c r="C12" s="13" t="s">
        <v>59</v>
      </c>
    </row>
    <row r="13" spans="1:3" ht="25.05" customHeight="1" x14ac:dyDescent="0.25">
      <c r="A13" s="9" t="s">
        <v>60</v>
      </c>
      <c r="B13" s="10">
        <f>SUMIF(收入明细2603[分类],"淘宝外卖",收入明细2603[收入明细])</f>
        <v>28180.51</v>
      </c>
      <c r="C13" s="11">
        <f>$B$13/$B$3</f>
        <v>0.3816994800827046</v>
      </c>
    </row>
    <row r="14" spans="1:3" ht="25.05" customHeight="1" x14ac:dyDescent="0.25">
      <c r="A14" s="9" t="s">
        <v>61</v>
      </c>
      <c r="B14" s="10">
        <f>SUMIF(收入明细2603[分类],"美团外卖",收入明细2603[收入明细])</f>
        <v>24949.9</v>
      </c>
      <c r="C14" s="11">
        <f>$B$14/$B$3</f>
        <v>0.33794150134669221</v>
      </c>
    </row>
    <row r="15" spans="1:3" ht="25.05" customHeight="1" x14ac:dyDescent="0.25">
      <c r="A15" s="9" t="s">
        <v>62</v>
      </c>
      <c r="B15" s="10">
        <f>SUMIF(收入明细2603[分类],"微信堂食",收入明细2603[收入明细])</f>
        <v>8847.66</v>
      </c>
      <c r="C15" s="11">
        <f>$B$15/$B$3</f>
        <v>0.11983981914977913</v>
      </c>
    </row>
    <row r="16" spans="1:3" ht="25.05" customHeight="1" x14ac:dyDescent="0.25">
      <c r="A16" s="9" t="s">
        <v>63</v>
      </c>
      <c r="B16" s="10">
        <f>SUMIF(收入明细2603[分类],"支付宝堂食",收入明细2603[收入明细])</f>
        <v>2679.29</v>
      </c>
      <c r="C16" s="11">
        <f>$B$16/$B$3</f>
        <v>3.6290457482522132E-2</v>
      </c>
    </row>
    <row r="17" spans="1:3" ht="25.05" customHeight="1" x14ac:dyDescent="0.25">
      <c r="A17" s="9" t="s">
        <v>64</v>
      </c>
      <c r="B17" s="10">
        <f>SUMIF(收入明细2603[分类],"京东外卖",收入明细2603[收入明细])</f>
        <v>9171.69</v>
      </c>
      <c r="C17" s="11">
        <f>$B$17/$B$3</f>
        <v>0.12422874193830209</v>
      </c>
    </row>
    <row r="18" spans="1:3" ht="25.05" customHeight="1" x14ac:dyDescent="0.25">
      <c r="A18" s="14" t="s">
        <v>65</v>
      </c>
      <c r="B18" s="15">
        <f>SUM(B13:B17)</f>
        <v>73829.05</v>
      </c>
      <c r="C18" s="16">
        <f>SUM($C$13:$C$17)</f>
        <v>1.0000000000000002</v>
      </c>
    </row>
    <row r="21" spans="1:3" ht="25.05" customHeight="1" x14ac:dyDescent="0.25">
      <c r="A21" s="64" t="s">
        <v>66</v>
      </c>
      <c r="B21" s="64"/>
      <c r="C21" s="64"/>
    </row>
    <row r="22" spans="1:3" ht="25.05" customHeight="1" x14ac:dyDescent="0.25">
      <c r="A22" s="65" t="s">
        <v>67</v>
      </c>
      <c r="B22" s="66"/>
      <c r="C22" s="67"/>
    </row>
    <row r="23" spans="1:3" ht="25.05" customHeight="1" x14ac:dyDescent="0.25">
      <c r="A23" s="9" t="s">
        <v>25</v>
      </c>
      <c r="B23" s="10">
        <f>SUMIF(支出明细2603[分类],"食材",支出明细2603[支出明细])</f>
        <v>43474.80999999999</v>
      </c>
      <c r="C23" s="11">
        <f>$B$23/$B$4</f>
        <v>0.63790297376332838</v>
      </c>
    </row>
    <row r="24" spans="1:3" ht="25.05" customHeight="1" x14ac:dyDescent="0.25">
      <c r="A24" s="9" t="s">
        <v>68</v>
      </c>
      <c r="B24" s="10">
        <f>SUMIF(支出明细2603[分类],"工资",支出明细2603[支出明细])</f>
        <v>15000</v>
      </c>
      <c r="C24" s="11">
        <f>$B$24/$B$4</f>
        <v>0.22009399480871633</v>
      </c>
    </row>
    <row r="25" spans="1:3" ht="25.05" customHeight="1" x14ac:dyDescent="0.25">
      <c r="A25" s="9" t="s">
        <v>6</v>
      </c>
      <c r="B25" s="10">
        <f>SUMIF(支出明细2603[分类],"房租",支出明细2603[支出明细])</f>
        <v>4333</v>
      </c>
      <c r="C25" s="11">
        <f>$B$25/$B$4</f>
        <v>6.3577818633744523E-2</v>
      </c>
    </row>
    <row r="26" spans="1:3" ht="25.05" customHeight="1" x14ac:dyDescent="0.25">
      <c r="A26" s="9" t="s">
        <v>32</v>
      </c>
      <c r="B26" s="10">
        <f>SUMIF(支出明细2603[分类],"推广",支出明细2603[支出明细])</f>
        <v>850</v>
      </c>
      <c r="C26" s="11">
        <f>$B$26/$B$4</f>
        <v>1.2471993039160592E-2</v>
      </c>
    </row>
    <row r="27" spans="1:3" ht="25.05" customHeight="1" x14ac:dyDescent="0.25">
      <c r="A27" s="9" t="s">
        <v>37</v>
      </c>
      <c r="B27" s="10">
        <f>SUMIF(支出明细2603[分类],"水电",支出明细2603[支出明细])</f>
        <v>3747.9</v>
      </c>
      <c r="C27" s="11">
        <f>$B$27/$B$4</f>
        <v>5.4992685542905859E-2</v>
      </c>
    </row>
    <row r="28" spans="1:3" ht="25.05" customHeight="1" x14ac:dyDescent="0.25">
      <c r="A28" s="9" t="s">
        <v>14</v>
      </c>
      <c r="B28" s="10">
        <f>SUMIF(支出明细2603[分类],"其他",支出明细2603[支出明细])</f>
        <v>746.9899999999999</v>
      </c>
      <c r="C28" s="11">
        <f>$B$28/$B$4</f>
        <v>1.0960534212144199E-2</v>
      </c>
    </row>
    <row r="29" spans="1:3" ht="25.05" customHeight="1" x14ac:dyDescent="0.25">
      <c r="A29" s="17" t="s">
        <v>65</v>
      </c>
      <c r="B29" s="18">
        <f>SUM(B23:B28)</f>
        <v>68152.7</v>
      </c>
      <c r="C29" s="19">
        <f>SUM($C$23:$C$28)</f>
        <v>0.99999999999999989</v>
      </c>
    </row>
    <row r="32" spans="1:3" ht="25.05" customHeight="1" x14ac:dyDescent="0.25">
      <c r="A32" s="27" t="s">
        <v>69</v>
      </c>
      <c r="B32" s="21" t="s">
        <v>4</v>
      </c>
      <c r="C32" s="22" t="s">
        <v>5</v>
      </c>
    </row>
    <row r="33" spans="1:3" ht="25.05" customHeight="1" x14ac:dyDescent="0.25">
      <c r="A33" s="23">
        <v>8739.36</v>
      </c>
      <c r="B33" s="21" t="s">
        <v>62</v>
      </c>
      <c r="C33" s="22" t="s">
        <v>77</v>
      </c>
    </row>
    <row r="34" spans="1:3" ht="25.05" customHeight="1" x14ac:dyDescent="0.25">
      <c r="A34" s="23">
        <v>108.3</v>
      </c>
      <c r="B34" s="21" t="s">
        <v>62</v>
      </c>
      <c r="C34" s="22" t="s">
        <v>78</v>
      </c>
    </row>
    <row r="35" spans="1:3" ht="25.05" customHeight="1" x14ac:dyDescent="0.25">
      <c r="A35" s="23">
        <v>2679.29</v>
      </c>
      <c r="B35" s="21" t="s">
        <v>63</v>
      </c>
      <c r="C35" s="22"/>
    </row>
    <row r="36" spans="1:3" ht="25.05" customHeight="1" x14ac:dyDescent="0.25">
      <c r="A36" s="23">
        <v>9171.69</v>
      </c>
      <c r="B36" s="21" t="s">
        <v>64</v>
      </c>
      <c r="C36" s="22"/>
    </row>
    <row r="37" spans="1:3" ht="25.05" customHeight="1" x14ac:dyDescent="0.25">
      <c r="A37" s="23">
        <v>28180.51</v>
      </c>
      <c r="B37" s="21" t="s">
        <v>60</v>
      </c>
      <c r="C37" s="22"/>
    </row>
    <row r="38" spans="1:3" ht="25.05" customHeight="1" x14ac:dyDescent="0.25">
      <c r="A38" s="23">
        <v>24949.9</v>
      </c>
      <c r="B38" s="21" t="s">
        <v>61</v>
      </c>
      <c r="C38" s="22"/>
    </row>
    <row r="40" spans="1:3" ht="25.05" customHeight="1" x14ac:dyDescent="0.25">
      <c r="A40" s="27"/>
      <c r="B40" s="24"/>
      <c r="C40" s="25"/>
    </row>
    <row r="41" spans="1:3" ht="25.05" customHeight="1" x14ac:dyDescent="0.25">
      <c r="A41" s="28" t="s">
        <v>71</v>
      </c>
      <c r="B41" s="22" t="s">
        <v>4</v>
      </c>
      <c r="C41" s="22" t="s">
        <v>5</v>
      </c>
    </row>
    <row r="42" spans="1:3" ht="25.05" customHeight="1" x14ac:dyDescent="0.25">
      <c r="A42" s="20">
        <v>4333</v>
      </c>
      <c r="B42" s="22" t="s">
        <v>6</v>
      </c>
      <c r="C42" s="22" t="s">
        <v>72</v>
      </c>
    </row>
    <row r="43" spans="1:3" ht="25.05" customHeight="1" x14ac:dyDescent="0.25">
      <c r="A43" s="20">
        <v>15000</v>
      </c>
      <c r="B43" s="22" t="s">
        <v>68</v>
      </c>
      <c r="C43" s="22" t="s">
        <v>79</v>
      </c>
    </row>
    <row r="44" spans="1:3" ht="25.05" customHeight="1" x14ac:dyDescent="0.25">
      <c r="A44" s="20">
        <v>3747.9</v>
      </c>
      <c r="B44" s="22" t="s">
        <v>37</v>
      </c>
      <c r="C44" s="22" t="s">
        <v>80</v>
      </c>
    </row>
    <row r="45" spans="1:3" ht="25.05" customHeight="1" x14ac:dyDescent="0.25">
      <c r="A45" s="20">
        <v>4140</v>
      </c>
      <c r="B45" s="22" t="s">
        <v>25</v>
      </c>
      <c r="C45" s="22" t="s">
        <v>81</v>
      </c>
    </row>
    <row r="46" spans="1:3" ht="25.05" customHeight="1" x14ac:dyDescent="0.25">
      <c r="A46" s="20">
        <v>7866</v>
      </c>
      <c r="B46" s="22" t="s">
        <v>25</v>
      </c>
      <c r="C46" s="22" t="s">
        <v>82</v>
      </c>
    </row>
    <row r="47" spans="1:3" ht="25.05" customHeight="1" x14ac:dyDescent="0.25">
      <c r="A47" s="20">
        <v>28.64</v>
      </c>
      <c r="B47" s="22" t="s">
        <v>14</v>
      </c>
      <c r="C47" s="22" t="s">
        <v>83</v>
      </c>
    </row>
    <row r="48" spans="1:3" ht="25.05" customHeight="1" x14ac:dyDescent="0.25">
      <c r="A48" s="20">
        <v>44.48</v>
      </c>
      <c r="B48" s="22" t="s">
        <v>25</v>
      </c>
      <c r="C48" s="22" t="s">
        <v>36</v>
      </c>
    </row>
    <row r="49" spans="1:3" ht="25.05" customHeight="1" x14ac:dyDescent="0.25">
      <c r="A49" s="20">
        <v>3000</v>
      </c>
      <c r="B49" s="22" t="s">
        <v>25</v>
      </c>
      <c r="C49" s="22" t="s">
        <v>26</v>
      </c>
    </row>
    <row r="50" spans="1:3" ht="25.05" customHeight="1" x14ac:dyDescent="0.25">
      <c r="A50" s="20">
        <v>23</v>
      </c>
      <c r="B50" s="22" t="s">
        <v>25</v>
      </c>
      <c r="C50" s="22" t="s">
        <v>84</v>
      </c>
    </row>
    <row r="51" spans="1:3" ht="25.05" customHeight="1" x14ac:dyDescent="0.25">
      <c r="A51" s="20">
        <v>468</v>
      </c>
      <c r="B51" s="22" t="s">
        <v>25</v>
      </c>
      <c r="C51" s="22" t="s">
        <v>85</v>
      </c>
    </row>
    <row r="52" spans="1:3" ht="25.05" customHeight="1" x14ac:dyDescent="0.25">
      <c r="A52" s="20">
        <v>385</v>
      </c>
      <c r="B52" s="22" t="s">
        <v>25</v>
      </c>
      <c r="C52" s="22" t="s">
        <v>86</v>
      </c>
    </row>
    <row r="53" spans="1:3" ht="25.05" customHeight="1" x14ac:dyDescent="0.25">
      <c r="A53" s="20">
        <v>295</v>
      </c>
      <c r="B53" s="22" t="s">
        <v>25</v>
      </c>
      <c r="C53" s="22" t="s">
        <v>87</v>
      </c>
    </row>
    <row r="54" spans="1:3" ht="25.05" customHeight="1" x14ac:dyDescent="0.25">
      <c r="A54" s="20">
        <v>718</v>
      </c>
      <c r="B54" s="22" t="s">
        <v>25</v>
      </c>
      <c r="C54" s="22" t="s">
        <v>88</v>
      </c>
    </row>
    <row r="55" spans="1:3" ht="25.05" customHeight="1" x14ac:dyDescent="0.25">
      <c r="A55" s="20">
        <v>57.6</v>
      </c>
      <c r="B55" s="22" t="s">
        <v>25</v>
      </c>
      <c r="C55" s="22" t="s">
        <v>89</v>
      </c>
    </row>
    <row r="56" spans="1:3" ht="25.05" customHeight="1" x14ac:dyDescent="0.25">
      <c r="A56" s="20">
        <v>302.5</v>
      </c>
      <c r="B56" s="22" t="s">
        <v>25</v>
      </c>
      <c r="C56" s="22" t="s">
        <v>90</v>
      </c>
    </row>
    <row r="57" spans="1:3" ht="25.05" customHeight="1" x14ac:dyDescent="0.25">
      <c r="A57" s="20">
        <v>400</v>
      </c>
      <c r="B57" s="22" t="s">
        <v>32</v>
      </c>
      <c r="C57" s="22" t="s">
        <v>91</v>
      </c>
    </row>
    <row r="58" spans="1:3" ht="25.05" customHeight="1" x14ac:dyDescent="0.25">
      <c r="A58" s="20">
        <v>225</v>
      </c>
      <c r="B58" s="22" t="s">
        <v>25</v>
      </c>
      <c r="C58" s="22" t="s">
        <v>92</v>
      </c>
    </row>
    <row r="59" spans="1:3" ht="25.05" customHeight="1" x14ac:dyDescent="0.25">
      <c r="A59" s="20">
        <v>350</v>
      </c>
      <c r="B59" s="22" t="s">
        <v>25</v>
      </c>
      <c r="C59" s="22" t="s">
        <v>93</v>
      </c>
    </row>
    <row r="60" spans="1:3" ht="25.05" customHeight="1" x14ac:dyDescent="0.25">
      <c r="A60" s="20">
        <v>112</v>
      </c>
      <c r="B60" s="22" t="s">
        <v>25</v>
      </c>
      <c r="C60" s="22" t="s">
        <v>94</v>
      </c>
    </row>
    <row r="61" spans="1:3" ht="25.05" customHeight="1" x14ac:dyDescent="0.25">
      <c r="A61" s="20">
        <v>198</v>
      </c>
      <c r="B61" s="22" t="s">
        <v>25</v>
      </c>
      <c r="C61" s="22" t="s">
        <v>95</v>
      </c>
    </row>
    <row r="62" spans="1:3" ht="25.05" customHeight="1" x14ac:dyDescent="0.25">
      <c r="A62" s="20">
        <v>100</v>
      </c>
      <c r="B62" s="22" t="s">
        <v>32</v>
      </c>
      <c r="C62" s="22" t="s">
        <v>96</v>
      </c>
    </row>
    <row r="63" spans="1:3" ht="25.05" customHeight="1" x14ac:dyDescent="0.25">
      <c r="A63" s="20">
        <v>362</v>
      </c>
      <c r="B63" s="22" t="s">
        <v>25</v>
      </c>
      <c r="C63" s="22" t="s">
        <v>97</v>
      </c>
    </row>
    <row r="64" spans="1:3" ht="25.05" customHeight="1" x14ac:dyDescent="0.25">
      <c r="A64" s="20">
        <v>300</v>
      </c>
      <c r="B64" s="22" t="s">
        <v>32</v>
      </c>
      <c r="C64" s="22" t="s">
        <v>98</v>
      </c>
    </row>
    <row r="65" spans="1:3" ht="25.05" customHeight="1" x14ac:dyDescent="0.25">
      <c r="A65" s="20">
        <v>128</v>
      </c>
      <c r="B65" s="22" t="s">
        <v>25</v>
      </c>
      <c r="C65" s="22" t="s">
        <v>99</v>
      </c>
    </row>
    <row r="66" spans="1:3" ht="25.05" customHeight="1" x14ac:dyDescent="0.25">
      <c r="A66" s="20">
        <v>304.63</v>
      </c>
      <c r="B66" s="22" t="s">
        <v>25</v>
      </c>
      <c r="C66" s="22" t="s">
        <v>90</v>
      </c>
    </row>
    <row r="67" spans="1:3" ht="25.05" customHeight="1" x14ac:dyDescent="0.25">
      <c r="A67" s="20">
        <v>4355.5</v>
      </c>
      <c r="B67" s="22" t="s">
        <v>25</v>
      </c>
      <c r="C67" s="22" t="s">
        <v>100</v>
      </c>
    </row>
    <row r="68" spans="1:3" ht="25.05" customHeight="1" x14ac:dyDescent="0.25">
      <c r="A68" s="20">
        <v>-180</v>
      </c>
      <c r="B68" s="22" t="s">
        <v>25</v>
      </c>
      <c r="C68" s="22" t="s">
        <v>101</v>
      </c>
    </row>
    <row r="69" spans="1:3" ht="25.05" customHeight="1" x14ac:dyDescent="0.25">
      <c r="A69" s="20">
        <v>350</v>
      </c>
      <c r="B69" s="22" t="s">
        <v>25</v>
      </c>
      <c r="C69" s="22" t="s">
        <v>102</v>
      </c>
    </row>
    <row r="70" spans="1:3" ht="25.05" customHeight="1" x14ac:dyDescent="0.25">
      <c r="A70" s="20">
        <v>224</v>
      </c>
      <c r="B70" s="22" t="s">
        <v>25</v>
      </c>
      <c r="C70" s="22" t="s">
        <v>103</v>
      </c>
    </row>
    <row r="71" spans="1:3" ht="25.05" customHeight="1" x14ac:dyDescent="0.25">
      <c r="A71" s="20">
        <v>177</v>
      </c>
      <c r="B71" s="22" t="s">
        <v>25</v>
      </c>
      <c r="C71" s="22" t="s">
        <v>104</v>
      </c>
    </row>
    <row r="72" spans="1:3" ht="25.05" customHeight="1" x14ac:dyDescent="0.25">
      <c r="A72" s="20">
        <v>112.2</v>
      </c>
      <c r="B72" s="22" t="s">
        <v>25</v>
      </c>
      <c r="C72" s="22" t="s">
        <v>105</v>
      </c>
    </row>
    <row r="73" spans="1:3" ht="25.05" customHeight="1" x14ac:dyDescent="0.25">
      <c r="A73" s="20">
        <v>-896</v>
      </c>
      <c r="B73" s="22" t="s">
        <v>25</v>
      </c>
      <c r="C73" s="22" t="s">
        <v>106</v>
      </c>
    </row>
    <row r="74" spans="1:3" ht="25.05" customHeight="1" x14ac:dyDescent="0.25">
      <c r="A74" s="20">
        <v>1188</v>
      </c>
      <c r="B74" s="22" t="s">
        <v>25</v>
      </c>
      <c r="C74" s="22" t="s">
        <v>107</v>
      </c>
    </row>
    <row r="75" spans="1:3" ht="25.05" customHeight="1" x14ac:dyDescent="0.25">
      <c r="A75" s="20">
        <v>2500</v>
      </c>
      <c r="B75" s="22" t="s">
        <v>25</v>
      </c>
      <c r="C75" s="22" t="s">
        <v>108</v>
      </c>
    </row>
    <row r="76" spans="1:3" ht="25.05" customHeight="1" x14ac:dyDescent="0.25">
      <c r="A76" s="20">
        <v>299</v>
      </c>
      <c r="B76" s="22" t="s">
        <v>14</v>
      </c>
      <c r="C76" s="22" t="s">
        <v>109</v>
      </c>
    </row>
    <row r="77" spans="1:3" ht="25.05" customHeight="1" x14ac:dyDescent="0.25">
      <c r="A77" s="20">
        <v>-433</v>
      </c>
      <c r="B77" s="22" t="s">
        <v>25</v>
      </c>
      <c r="C77" s="22" t="s">
        <v>110</v>
      </c>
    </row>
    <row r="78" spans="1:3" ht="25.05" customHeight="1" x14ac:dyDescent="0.25">
      <c r="A78" s="20">
        <v>50</v>
      </c>
      <c r="B78" s="22" t="s">
        <v>32</v>
      </c>
      <c r="C78" s="22" t="s">
        <v>111</v>
      </c>
    </row>
    <row r="79" spans="1:3" ht="25.05" customHeight="1" x14ac:dyDescent="0.25">
      <c r="A79" s="20">
        <v>601.91999999999996</v>
      </c>
      <c r="B79" s="22" t="s">
        <v>25</v>
      </c>
      <c r="C79" s="22" t="s">
        <v>112</v>
      </c>
    </row>
    <row r="80" spans="1:3" ht="25.05" customHeight="1" x14ac:dyDescent="0.25">
      <c r="A80" s="20">
        <v>390</v>
      </c>
      <c r="B80" s="22" t="s">
        <v>25</v>
      </c>
      <c r="C80" s="22" t="s">
        <v>113</v>
      </c>
    </row>
    <row r="81" spans="1:3" ht="25.05" customHeight="1" x14ac:dyDescent="0.25">
      <c r="A81" s="20">
        <v>300</v>
      </c>
      <c r="B81" s="22" t="s">
        <v>14</v>
      </c>
      <c r="C81" s="22" t="s">
        <v>114</v>
      </c>
    </row>
    <row r="82" spans="1:3" ht="25.05" customHeight="1" x14ac:dyDescent="0.25">
      <c r="A82" s="20">
        <v>125.1</v>
      </c>
      <c r="B82" s="22" t="s">
        <v>25</v>
      </c>
      <c r="C82" s="22" t="s">
        <v>115</v>
      </c>
    </row>
    <row r="83" spans="1:3" ht="25.05" customHeight="1" x14ac:dyDescent="0.25">
      <c r="A83" s="20">
        <v>170</v>
      </c>
      <c r="B83" s="22" t="s">
        <v>25</v>
      </c>
      <c r="C83" s="22" t="s">
        <v>116</v>
      </c>
    </row>
    <row r="84" spans="1:3" ht="25.05" customHeight="1" x14ac:dyDescent="0.25">
      <c r="A84" s="20">
        <v>198</v>
      </c>
      <c r="B84" s="22" t="s">
        <v>25</v>
      </c>
      <c r="C84" s="22" t="s">
        <v>95</v>
      </c>
    </row>
    <row r="85" spans="1:3" ht="25.05" customHeight="1" x14ac:dyDescent="0.25">
      <c r="A85" s="20">
        <v>308</v>
      </c>
      <c r="B85" s="22" t="s">
        <v>25</v>
      </c>
      <c r="C85" s="22" t="s">
        <v>117</v>
      </c>
    </row>
    <row r="86" spans="1:3" ht="25.05" customHeight="1" x14ac:dyDescent="0.25">
      <c r="A86" s="20">
        <v>7560</v>
      </c>
      <c r="B86" s="22" t="s">
        <v>25</v>
      </c>
      <c r="C86" s="22" t="s">
        <v>118</v>
      </c>
    </row>
    <row r="87" spans="1:3" ht="25.05" customHeight="1" x14ac:dyDescent="0.25">
      <c r="A87" s="20">
        <v>500</v>
      </c>
      <c r="B87" s="22" t="s">
        <v>25</v>
      </c>
      <c r="C87" s="22" t="s">
        <v>26</v>
      </c>
    </row>
    <row r="88" spans="1:3" ht="25.05" customHeight="1" x14ac:dyDescent="0.25">
      <c r="A88" s="20">
        <v>195</v>
      </c>
      <c r="B88" s="22" t="s">
        <v>25</v>
      </c>
      <c r="C88" s="22" t="s">
        <v>119</v>
      </c>
    </row>
    <row r="89" spans="1:3" ht="25.05" customHeight="1" x14ac:dyDescent="0.25">
      <c r="A89" s="20">
        <v>33.9</v>
      </c>
      <c r="B89" s="22" t="s">
        <v>14</v>
      </c>
      <c r="C89" s="22" t="s">
        <v>120</v>
      </c>
    </row>
    <row r="90" spans="1:3" ht="25.05" customHeight="1" x14ac:dyDescent="0.25">
      <c r="A90" s="20">
        <v>1410</v>
      </c>
      <c r="B90" s="22" t="s">
        <v>25</v>
      </c>
      <c r="C90" s="22" t="s">
        <v>121</v>
      </c>
    </row>
    <row r="91" spans="1:3" ht="25.05" customHeight="1" x14ac:dyDescent="0.25">
      <c r="A91" s="20">
        <v>81.650000000000006</v>
      </c>
      <c r="B91" s="22" t="s">
        <v>14</v>
      </c>
      <c r="C91" s="22" t="s">
        <v>122</v>
      </c>
    </row>
    <row r="92" spans="1:3" ht="25.05" customHeight="1" x14ac:dyDescent="0.25">
      <c r="A92" s="20">
        <v>551.91999999999996</v>
      </c>
      <c r="B92" s="22" t="s">
        <v>25</v>
      </c>
      <c r="C92" s="22" t="s">
        <v>36</v>
      </c>
    </row>
    <row r="93" spans="1:3" ht="25.05" customHeight="1" x14ac:dyDescent="0.25">
      <c r="A93" s="20">
        <v>246</v>
      </c>
      <c r="B93" s="22" t="s">
        <v>25</v>
      </c>
      <c r="C93" s="22" t="s">
        <v>123</v>
      </c>
    </row>
    <row r="94" spans="1:3" ht="25.05" customHeight="1" x14ac:dyDescent="0.25">
      <c r="A94" s="20">
        <v>244.6</v>
      </c>
      <c r="B94" s="22" t="s">
        <v>25</v>
      </c>
      <c r="C94" s="22" t="s">
        <v>124</v>
      </c>
    </row>
    <row r="95" spans="1:3" ht="25.05" customHeight="1" x14ac:dyDescent="0.25">
      <c r="A95" s="20">
        <v>500</v>
      </c>
      <c r="B95" s="22" t="s">
        <v>25</v>
      </c>
      <c r="C95" s="22" t="s">
        <v>26</v>
      </c>
    </row>
    <row r="96" spans="1:3" ht="25.05" customHeight="1" x14ac:dyDescent="0.25">
      <c r="A96" s="20">
        <v>480</v>
      </c>
      <c r="B96" s="22" t="s">
        <v>25</v>
      </c>
      <c r="C96" s="22" t="s">
        <v>125</v>
      </c>
    </row>
    <row r="97" spans="1:3" ht="25.05" customHeight="1" x14ac:dyDescent="0.25">
      <c r="A97" s="20">
        <v>120</v>
      </c>
      <c r="B97" s="22" t="s">
        <v>25</v>
      </c>
      <c r="C97" s="22" t="s">
        <v>126</v>
      </c>
    </row>
    <row r="98" spans="1:3" ht="25.05" customHeight="1" x14ac:dyDescent="0.25">
      <c r="A98" s="20">
        <v>2555</v>
      </c>
      <c r="B98" s="22" t="s">
        <v>25</v>
      </c>
      <c r="C98" s="22" t="s">
        <v>127</v>
      </c>
    </row>
    <row r="99" spans="1:3" ht="25.05" customHeight="1" x14ac:dyDescent="0.25">
      <c r="A99" s="20">
        <v>106</v>
      </c>
      <c r="B99" s="22" t="s">
        <v>25</v>
      </c>
      <c r="C99" s="22" t="s">
        <v>128</v>
      </c>
    </row>
    <row r="100" spans="1:3" ht="25.05" customHeight="1" x14ac:dyDescent="0.25">
      <c r="A100" s="20">
        <v>22.8</v>
      </c>
      <c r="B100" s="22" t="s">
        <v>14</v>
      </c>
      <c r="C100" s="22" t="s">
        <v>129</v>
      </c>
    </row>
    <row r="101" spans="1:3" ht="25.05" customHeight="1" x14ac:dyDescent="0.25">
      <c r="A101" s="20">
        <v>390</v>
      </c>
      <c r="B101" s="22" t="s">
        <v>25</v>
      </c>
      <c r="C101" s="22" t="s">
        <v>130</v>
      </c>
    </row>
    <row r="102" spans="1:3" ht="25.05" customHeight="1" x14ac:dyDescent="0.25">
      <c r="A102" s="20">
        <v>246</v>
      </c>
      <c r="B102" s="22" t="s">
        <v>25</v>
      </c>
      <c r="C102" s="22" t="s">
        <v>123</v>
      </c>
    </row>
    <row r="103" spans="1:3" ht="25.05" customHeight="1" x14ac:dyDescent="0.25">
      <c r="A103" s="20">
        <v>130</v>
      </c>
      <c r="B103" s="22" t="s">
        <v>14</v>
      </c>
      <c r="C103" s="22" t="s">
        <v>131</v>
      </c>
    </row>
    <row r="104" spans="1:3" ht="25.05" customHeight="1" x14ac:dyDescent="0.25">
      <c r="A104" s="20">
        <v>96</v>
      </c>
      <c r="B104" s="22" t="s">
        <v>25</v>
      </c>
      <c r="C104" s="22" t="s">
        <v>132</v>
      </c>
    </row>
    <row r="105" spans="1:3" ht="25.05" customHeight="1" x14ac:dyDescent="0.25">
      <c r="A105" s="20">
        <v>104.36</v>
      </c>
      <c r="B105" s="22" t="s">
        <v>25</v>
      </c>
      <c r="C105" s="22" t="s">
        <v>133</v>
      </c>
    </row>
    <row r="106" spans="1:3" ht="25.05" customHeight="1" x14ac:dyDescent="0.25">
      <c r="A106" s="20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phoneticPr fontId="7" type="noConversion"/>
  <dataValidations count="1">
    <dataValidation type="list" allowBlank="1" showInputMessage="1" showErrorMessage="1" sqref="B4 B41 B106 B2:B3 B5:B9 B11:B19 B21:B31 B42:B105" xr:uid="{00000000-0002-0000-02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68"/>
  <sheetViews>
    <sheetView tabSelected="1" topLeftCell="A25" workbookViewId="0">
      <selection activeCell="D16" sqref="D16"/>
    </sheetView>
  </sheetViews>
  <sheetFormatPr defaultColWidth="30.6640625" defaultRowHeight="25.05" customHeight="1" x14ac:dyDescent="0.25"/>
  <cols>
    <col min="1" max="1" width="30.6640625" style="1" customWidth="1"/>
    <col min="2" max="2" width="30.6640625" style="2" customWidth="1"/>
    <col min="3" max="16384" width="30.6640625" style="2"/>
  </cols>
  <sheetData>
    <row r="1" spans="1:3" ht="25.05" customHeight="1" x14ac:dyDescent="0.25">
      <c r="A1" s="61" t="s">
        <v>44</v>
      </c>
      <c r="B1" s="62"/>
      <c r="C1" s="62"/>
    </row>
    <row r="2" spans="1:3" ht="25.05" customHeight="1" x14ac:dyDescent="0.25">
      <c r="A2" s="4" t="s">
        <v>45</v>
      </c>
      <c r="B2" s="4" t="s">
        <v>46</v>
      </c>
      <c r="C2" s="4" t="s">
        <v>47</v>
      </c>
    </row>
    <row r="3" spans="1:3" ht="25.05" customHeight="1" x14ac:dyDescent="0.25">
      <c r="A3" s="5" t="s">
        <v>48</v>
      </c>
      <c r="B3" s="6">
        <f>SUM(收入明细2604[收入明细])</f>
        <v>0</v>
      </c>
      <c r="C3" s="5" t="s">
        <v>49</v>
      </c>
    </row>
    <row r="4" spans="1:3" ht="25.05" customHeight="1" x14ac:dyDescent="0.25">
      <c r="A4" s="7" t="s">
        <v>50</v>
      </c>
      <c r="B4" s="8">
        <f>SUM(支出明细2604[支出明细])</f>
        <v>50032.060000000005</v>
      </c>
      <c r="C4" s="7" t="s">
        <v>49</v>
      </c>
    </row>
    <row r="5" spans="1:3" ht="25.05" customHeight="1" x14ac:dyDescent="0.25">
      <c r="A5" s="9" t="s">
        <v>51</v>
      </c>
      <c r="B5" s="10">
        <f>$B$3-SUMIF(支出明细2604[分类],"食材",支出明细2604[支出明细])</f>
        <v>-28307.98</v>
      </c>
      <c r="C5" s="9" t="s">
        <v>49</v>
      </c>
    </row>
    <row r="6" spans="1:3" ht="25.05" customHeight="1" x14ac:dyDescent="0.25">
      <c r="A6" s="9" t="s">
        <v>52</v>
      </c>
      <c r="B6" s="10">
        <f>$B$3-$B$4</f>
        <v>-50032.060000000005</v>
      </c>
      <c r="C6" s="9" t="s">
        <v>49</v>
      </c>
    </row>
    <row r="7" spans="1:3" ht="25.05" customHeight="1" x14ac:dyDescent="0.25">
      <c r="A7" s="9" t="s">
        <v>53</v>
      </c>
      <c r="B7" s="11" t="e">
        <f>$B$5/$B$3</f>
        <v>#DIV/0!</v>
      </c>
      <c r="C7" s="9" t="s">
        <v>54</v>
      </c>
    </row>
    <row r="8" spans="1:3" ht="25.05" customHeight="1" x14ac:dyDescent="0.25">
      <c r="A8" s="9" t="s">
        <v>55</v>
      </c>
      <c r="B8" s="11" t="e">
        <f>$B$6/$B$3</f>
        <v>#DIV/0!</v>
      </c>
      <c r="C8" s="9" t="s">
        <v>54</v>
      </c>
    </row>
    <row r="9" spans="1:3" ht="25.05" customHeight="1" x14ac:dyDescent="0.25">
      <c r="A9" s="12"/>
      <c r="B9" s="3"/>
      <c r="C9" s="3"/>
    </row>
    <row r="10" spans="1:3" ht="25.05" customHeight="1" x14ac:dyDescent="0.25">
      <c r="A10" s="12"/>
      <c r="B10" s="3"/>
      <c r="C10" s="3"/>
    </row>
    <row r="11" spans="1:3" ht="25.05" customHeight="1" x14ac:dyDescent="0.25">
      <c r="A11" s="63" t="s">
        <v>56</v>
      </c>
      <c r="B11" s="62"/>
      <c r="C11" s="62"/>
    </row>
    <row r="12" spans="1:3" ht="25.05" customHeight="1" x14ac:dyDescent="0.25">
      <c r="A12" s="13" t="s">
        <v>57</v>
      </c>
      <c r="B12" s="13" t="s">
        <v>58</v>
      </c>
      <c r="C12" s="13" t="s">
        <v>59</v>
      </c>
    </row>
    <row r="13" spans="1:3" ht="25.05" customHeight="1" x14ac:dyDescent="0.25">
      <c r="A13" s="9" t="s">
        <v>60</v>
      </c>
      <c r="B13" s="10">
        <f>SUMIF(收入明细2604[分类],"淘宝外卖",收入明细2604[收入明细])</f>
        <v>0</v>
      </c>
      <c r="C13" s="11" t="e">
        <f>$B$13/$B$3</f>
        <v>#DIV/0!</v>
      </c>
    </row>
    <row r="14" spans="1:3" ht="25.05" customHeight="1" x14ac:dyDescent="0.25">
      <c r="A14" s="9" t="s">
        <v>61</v>
      </c>
      <c r="B14" s="10">
        <f>SUMIF(收入明细2604[分类],"美团外卖",收入明细2604[收入明细])</f>
        <v>0</v>
      </c>
      <c r="C14" s="11" t="e">
        <f>$B$14/$B$3</f>
        <v>#DIV/0!</v>
      </c>
    </row>
    <row r="15" spans="1:3" ht="25.05" customHeight="1" x14ac:dyDescent="0.25">
      <c r="A15" s="9" t="s">
        <v>62</v>
      </c>
      <c r="B15" s="10">
        <f>SUMIF(收入明细2604[分类],"微信堂食",收入明细2604[收入明细])</f>
        <v>0</v>
      </c>
      <c r="C15" s="11" t="e">
        <f>$B$15/$B$3</f>
        <v>#DIV/0!</v>
      </c>
    </row>
    <row r="16" spans="1:3" ht="25.05" customHeight="1" x14ac:dyDescent="0.25">
      <c r="A16" s="9" t="s">
        <v>63</v>
      </c>
      <c r="B16" s="10">
        <f>SUMIF(收入明细2604[分类],"支付宝堂食",收入明细2604[收入明细])</f>
        <v>0</v>
      </c>
      <c r="C16" s="11" t="e">
        <f>$B$16/$B$3</f>
        <v>#DIV/0!</v>
      </c>
    </row>
    <row r="17" spans="1:3" ht="25.05" customHeight="1" x14ac:dyDescent="0.25">
      <c r="A17" s="9" t="s">
        <v>64</v>
      </c>
      <c r="B17" s="10">
        <f>SUMIF(收入明细2604[分类],"京东外卖",收入明细2604[收入明细])</f>
        <v>0</v>
      </c>
      <c r="C17" s="11" t="e">
        <f>$B$17/$B$3</f>
        <v>#DIV/0!</v>
      </c>
    </row>
    <row r="18" spans="1:3" ht="25.05" customHeight="1" x14ac:dyDescent="0.25">
      <c r="A18" s="14" t="s">
        <v>65</v>
      </c>
      <c r="B18" s="15">
        <f>SUM(B13:B17)</f>
        <v>0</v>
      </c>
      <c r="C18" s="16" t="e">
        <f>SUM($C$13:$C$17)</f>
        <v>#DIV/0!</v>
      </c>
    </row>
    <row r="19" spans="1:3" customFormat="1" ht="25.05" customHeight="1" x14ac:dyDescent="0.25"/>
    <row r="20" spans="1:3" customFormat="1" ht="25.05" customHeight="1" x14ac:dyDescent="0.25"/>
    <row r="21" spans="1:3" ht="25.05" customHeight="1" x14ac:dyDescent="0.25">
      <c r="A21" s="64" t="s">
        <v>66</v>
      </c>
      <c r="B21" s="64"/>
      <c r="C21" s="64"/>
    </row>
    <row r="22" spans="1:3" ht="25.05" customHeight="1" x14ac:dyDescent="0.25">
      <c r="A22" s="65" t="s">
        <v>67</v>
      </c>
      <c r="B22" s="66"/>
      <c r="C22" s="67"/>
    </row>
    <row r="23" spans="1:3" ht="25.05" customHeight="1" x14ac:dyDescent="0.25">
      <c r="A23" s="9" t="s">
        <v>25</v>
      </c>
      <c r="B23" s="10">
        <f>SUMIF(支出明细2604[分类],"食材",支出明细2604[支出明细])</f>
        <v>28307.98</v>
      </c>
      <c r="C23" s="11">
        <f>$B$23/$B$4</f>
        <v>0.56579681108473245</v>
      </c>
    </row>
    <row r="24" spans="1:3" ht="25.05" customHeight="1" x14ac:dyDescent="0.25">
      <c r="A24" s="9" t="s">
        <v>68</v>
      </c>
      <c r="B24" s="10">
        <f>SUMIF(支出明细2604[分类],"工资",支出明细2604[支出明细])</f>
        <v>12000</v>
      </c>
      <c r="C24" s="11">
        <f>$B$24/$B$4</f>
        <v>0.239846210609757</v>
      </c>
    </row>
    <row r="25" spans="1:3" ht="25.05" customHeight="1" x14ac:dyDescent="0.25">
      <c r="A25" s="9" t="s">
        <v>6</v>
      </c>
      <c r="B25" s="10">
        <f>SUMIF(支出明细2604[分类],"房租",支出明细2604[支出明细])</f>
        <v>4333</v>
      </c>
      <c r="C25" s="11">
        <f>$B$25/$B$4</f>
        <v>8.6604469214339758E-2</v>
      </c>
    </row>
    <row r="26" spans="1:3" ht="25.05" customHeight="1" x14ac:dyDescent="0.25">
      <c r="A26" s="9" t="s">
        <v>32</v>
      </c>
      <c r="B26" s="10">
        <f>SUMIF(支出明细2604[分类],"推广",支出明细2604[支出明细])</f>
        <v>0</v>
      </c>
      <c r="C26" s="11">
        <f>$B$26/$B$4</f>
        <v>0</v>
      </c>
    </row>
    <row r="27" spans="1:3" ht="25.05" customHeight="1" x14ac:dyDescent="0.25">
      <c r="A27" s="9" t="s">
        <v>37</v>
      </c>
      <c r="B27" s="10">
        <f>SUMIF(支出明细2604[分类],"水电",支出明细2604[支出明细])</f>
        <v>3000</v>
      </c>
      <c r="C27" s="11">
        <f>$B$27/$B$4</f>
        <v>5.996155265243925E-2</v>
      </c>
    </row>
    <row r="28" spans="1:3" ht="25.05" customHeight="1" x14ac:dyDescent="0.25">
      <c r="A28" s="9" t="s">
        <v>14</v>
      </c>
      <c r="B28" s="10">
        <f>SUMIF(支出明细2604[分类],"其他",支出明细2604[支出明细])</f>
        <v>2391.08</v>
      </c>
      <c r="C28" s="11">
        <f>$B$28/$B$4</f>
        <v>4.7790956438731477E-2</v>
      </c>
    </row>
    <row r="29" spans="1:3" ht="25.05" customHeight="1" x14ac:dyDescent="0.25">
      <c r="A29" s="17" t="s">
        <v>65</v>
      </c>
      <c r="B29" s="18">
        <f>SUM(B23:B28)</f>
        <v>50032.06</v>
      </c>
      <c r="C29" s="19">
        <f>SUM($C$23:$C$28)</f>
        <v>0.99999999999999989</v>
      </c>
    </row>
    <row r="32" spans="1:3" ht="25.05" customHeight="1" x14ac:dyDescent="0.25">
      <c r="A32" s="20" t="s">
        <v>69</v>
      </c>
      <c r="B32" s="21" t="s">
        <v>4</v>
      </c>
      <c r="C32" s="22" t="s">
        <v>5</v>
      </c>
    </row>
    <row r="33" spans="1:3" ht="25.05" customHeight="1" x14ac:dyDescent="0.25">
      <c r="A33" s="23">
        <v>0</v>
      </c>
      <c r="B33" s="21" t="s">
        <v>135</v>
      </c>
      <c r="C33" s="22"/>
    </row>
    <row r="34" spans="1:3" ht="25.05" customHeight="1" x14ac:dyDescent="0.25">
      <c r="A34" s="23">
        <v>0</v>
      </c>
      <c r="B34" s="21" t="s">
        <v>136</v>
      </c>
      <c r="C34" s="22"/>
    </row>
    <row r="35" spans="1:3" ht="25.05" customHeight="1" x14ac:dyDescent="0.25">
      <c r="A35" s="23">
        <v>0</v>
      </c>
      <c r="B35" s="21" t="s">
        <v>63</v>
      </c>
      <c r="C35" s="22"/>
    </row>
    <row r="36" spans="1:3" ht="25.05" customHeight="1" x14ac:dyDescent="0.25">
      <c r="A36" s="23">
        <v>0</v>
      </c>
      <c r="B36" s="21" t="s">
        <v>64</v>
      </c>
      <c r="C36" s="22"/>
    </row>
    <row r="37" spans="1:3" ht="25.05" customHeight="1" x14ac:dyDescent="0.25">
      <c r="A37" s="23">
        <v>0</v>
      </c>
      <c r="B37" s="21" t="s">
        <v>60</v>
      </c>
      <c r="C37" s="22"/>
    </row>
    <row r="38" spans="1:3" ht="25.05" customHeight="1" x14ac:dyDescent="0.25">
      <c r="A38" s="23">
        <v>0</v>
      </c>
      <c r="B38" s="21" t="s">
        <v>61</v>
      </c>
      <c r="C38" s="22"/>
    </row>
    <row r="39" spans="1:3" ht="25.05" customHeight="1" x14ac:dyDescent="0.25">
      <c r="A39" s="20"/>
      <c r="B39" s="24"/>
      <c r="C39" s="25"/>
    </row>
    <row r="40" spans="1:3" ht="25.05" customHeight="1" x14ac:dyDescent="0.25">
      <c r="A40" s="20"/>
      <c r="B40" s="24"/>
      <c r="C40" s="26"/>
    </row>
    <row r="41" spans="1:3" ht="25.05" customHeight="1" x14ac:dyDescent="0.25">
      <c r="A41" s="20" t="s">
        <v>71</v>
      </c>
      <c r="B41" s="22" t="s">
        <v>4</v>
      </c>
      <c r="C41" s="22" t="s">
        <v>5</v>
      </c>
    </row>
    <row r="42" spans="1:3" ht="25.05" hidden="1" customHeight="1" x14ac:dyDescent="0.25">
      <c r="A42" s="20">
        <v>4333</v>
      </c>
      <c r="B42" s="22" t="s">
        <v>6</v>
      </c>
      <c r="C42" s="22" t="s">
        <v>72</v>
      </c>
    </row>
    <row r="43" spans="1:3" ht="25.05" hidden="1" customHeight="1" x14ac:dyDescent="0.25">
      <c r="A43" s="20">
        <v>12000</v>
      </c>
      <c r="B43" s="22" t="s">
        <v>68</v>
      </c>
      <c r="C43" s="22" t="s">
        <v>137</v>
      </c>
    </row>
    <row r="44" spans="1:3" ht="25.05" hidden="1" customHeight="1" x14ac:dyDescent="0.25">
      <c r="A44" s="20">
        <v>3000</v>
      </c>
      <c r="B44" s="22" t="s">
        <v>37</v>
      </c>
      <c r="C44" s="22" t="s">
        <v>137</v>
      </c>
    </row>
    <row r="45" spans="1:3" ht="25.05" customHeight="1" x14ac:dyDescent="0.25">
      <c r="A45" s="20">
        <v>4000</v>
      </c>
      <c r="B45" s="22" t="s">
        <v>25</v>
      </c>
      <c r="C45" s="22" t="s">
        <v>138</v>
      </c>
    </row>
    <row r="46" spans="1:3" ht="25.05" customHeight="1" x14ac:dyDescent="0.25">
      <c r="A46" s="20">
        <v>397.58</v>
      </c>
      <c r="B46" s="21" t="s">
        <v>25</v>
      </c>
      <c r="C46" s="22" t="s">
        <v>139</v>
      </c>
    </row>
    <row r="47" spans="1:3" ht="25.05" customHeight="1" x14ac:dyDescent="0.25">
      <c r="A47" s="20">
        <v>3000</v>
      </c>
      <c r="B47" s="21" t="s">
        <v>25</v>
      </c>
      <c r="C47" s="22" t="s">
        <v>140</v>
      </c>
    </row>
    <row r="48" spans="1:3" ht="25.05" customHeight="1" x14ac:dyDescent="0.25">
      <c r="A48" s="20">
        <v>601.91999999999996</v>
      </c>
      <c r="B48" s="2" t="s">
        <v>25</v>
      </c>
      <c r="C48" s="2" t="s">
        <v>112</v>
      </c>
    </row>
    <row r="49" spans="1:3" ht="25.05" customHeight="1" x14ac:dyDescent="0.25">
      <c r="A49" s="20">
        <v>86.24</v>
      </c>
      <c r="B49" s="2" t="s">
        <v>25</v>
      </c>
      <c r="C49" s="2" t="s">
        <v>141</v>
      </c>
    </row>
    <row r="50" spans="1:3" ht="25.05" customHeight="1" x14ac:dyDescent="0.25">
      <c r="A50" s="20">
        <v>83.64</v>
      </c>
      <c r="B50" s="2" t="s">
        <v>25</v>
      </c>
      <c r="C50" s="2" t="s">
        <v>142</v>
      </c>
    </row>
    <row r="51" spans="1:3" ht="25.05" customHeight="1" x14ac:dyDescent="0.25">
      <c r="A51" s="20">
        <v>280</v>
      </c>
      <c r="B51" s="2" t="s">
        <v>25</v>
      </c>
      <c r="C51" s="2" t="s">
        <v>143</v>
      </c>
    </row>
    <row r="52" spans="1:3" ht="25.05" hidden="1" customHeight="1" x14ac:dyDescent="0.25">
      <c r="A52" s="20">
        <v>50</v>
      </c>
      <c r="B52" s="2" t="s">
        <v>14</v>
      </c>
      <c r="C52" s="2" t="s">
        <v>144</v>
      </c>
    </row>
    <row r="53" spans="1:3" ht="25.05" customHeight="1" x14ac:dyDescent="0.25">
      <c r="A53" s="20">
        <v>618</v>
      </c>
      <c r="B53" s="2" t="s">
        <v>25</v>
      </c>
      <c r="C53" s="2" t="s">
        <v>145</v>
      </c>
    </row>
    <row r="54" spans="1:3" ht="25.05" customHeight="1" x14ac:dyDescent="0.25">
      <c r="A54" s="20">
        <v>8092</v>
      </c>
      <c r="B54" s="2" t="s">
        <v>25</v>
      </c>
      <c r="C54" s="2" t="s">
        <v>146</v>
      </c>
    </row>
    <row r="55" spans="1:3" ht="25.05" customHeight="1" x14ac:dyDescent="0.25">
      <c r="A55" s="20">
        <v>1379</v>
      </c>
      <c r="B55" s="2" t="s">
        <v>25</v>
      </c>
      <c r="C55" s="2" t="s">
        <v>147</v>
      </c>
    </row>
    <row r="56" spans="1:3" ht="25.05" hidden="1" customHeight="1" x14ac:dyDescent="0.25">
      <c r="A56" s="20">
        <v>150</v>
      </c>
      <c r="B56" s="2" t="s">
        <v>14</v>
      </c>
      <c r="C56" s="2" t="s">
        <v>148</v>
      </c>
    </row>
    <row r="57" spans="1:3" ht="25.05" hidden="1" customHeight="1" x14ac:dyDescent="0.25">
      <c r="A57" s="20">
        <v>700</v>
      </c>
      <c r="B57" s="2" t="s">
        <v>14</v>
      </c>
      <c r="C57" s="2" t="s">
        <v>149</v>
      </c>
    </row>
    <row r="58" spans="1:3" ht="25.05" customHeight="1" x14ac:dyDescent="0.25">
      <c r="A58" s="20">
        <v>350</v>
      </c>
      <c r="B58" s="2" t="s">
        <v>25</v>
      </c>
      <c r="C58" s="2" t="s">
        <v>150</v>
      </c>
    </row>
    <row r="59" spans="1:3" ht="25.05" customHeight="1" x14ac:dyDescent="0.25">
      <c r="A59" s="20">
        <v>381</v>
      </c>
      <c r="B59" s="2" t="s">
        <v>25</v>
      </c>
      <c r="C59" s="2" t="s">
        <v>151</v>
      </c>
    </row>
    <row r="60" spans="1:3" ht="25.05" hidden="1" customHeight="1" x14ac:dyDescent="0.25">
      <c r="A60" s="20">
        <v>16.079999999999998</v>
      </c>
      <c r="B60" s="2" t="s">
        <v>14</v>
      </c>
      <c r="C60" s="2" t="s">
        <v>152</v>
      </c>
    </row>
    <row r="61" spans="1:3" ht="25.05" customHeight="1" x14ac:dyDescent="0.25">
      <c r="A61" s="20">
        <v>396</v>
      </c>
      <c r="B61" s="2" t="s">
        <v>25</v>
      </c>
      <c r="C61" s="2" t="s">
        <v>153</v>
      </c>
    </row>
    <row r="62" spans="1:3" ht="25.05" customHeight="1" x14ac:dyDescent="0.25">
      <c r="A62" s="20">
        <v>602</v>
      </c>
      <c r="B62" s="2" t="s">
        <v>25</v>
      </c>
      <c r="C62" s="2" t="s">
        <v>112</v>
      </c>
    </row>
    <row r="63" spans="1:3" ht="25.05" hidden="1" customHeight="1" x14ac:dyDescent="0.25">
      <c r="A63" s="20">
        <v>200</v>
      </c>
      <c r="B63" s="2" t="s">
        <v>14</v>
      </c>
      <c r="C63" s="2" t="s">
        <v>154</v>
      </c>
    </row>
    <row r="64" spans="1:3" ht="25.05" customHeight="1" x14ac:dyDescent="0.25">
      <c r="A64" s="20">
        <v>80</v>
      </c>
      <c r="B64" s="2" t="s">
        <v>25</v>
      </c>
      <c r="C64" s="2" t="s">
        <v>155</v>
      </c>
    </row>
    <row r="65" spans="1:3" ht="25.05" customHeight="1" x14ac:dyDescent="0.25">
      <c r="A65" s="20">
        <v>912</v>
      </c>
      <c r="B65" s="2" t="s">
        <v>25</v>
      </c>
      <c r="C65" s="2" t="s">
        <v>156</v>
      </c>
    </row>
    <row r="66" spans="1:3" ht="25.05" customHeight="1" x14ac:dyDescent="0.25">
      <c r="A66" s="20">
        <v>6783</v>
      </c>
      <c r="B66" s="2" t="s">
        <v>25</v>
      </c>
      <c r="C66" s="2" t="s">
        <v>157</v>
      </c>
    </row>
    <row r="67" spans="1:3" ht="25.05" customHeight="1" x14ac:dyDescent="0.25">
      <c r="A67" s="20">
        <v>265.60000000000002</v>
      </c>
      <c r="B67" s="2" t="s">
        <v>25</v>
      </c>
      <c r="C67" s="74" t="s">
        <v>158</v>
      </c>
    </row>
    <row r="68" spans="1:3" ht="25.05" hidden="1" customHeight="1" x14ac:dyDescent="0.25">
      <c r="A68" s="20">
        <v>1275</v>
      </c>
      <c r="B68" s="2" t="s">
        <v>14</v>
      </c>
      <c r="C68" s="74" t="s">
        <v>159</v>
      </c>
    </row>
  </sheetData>
  <mergeCells count="4">
    <mergeCell ref="A1:C1"/>
    <mergeCell ref="A11:C11"/>
    <mergeCell ref="A21:C21"/>
    <mergeCell ref="A22:C22"/>
  </mergeCells>
  <phoneticPr fontId="7" type="noConversion"/>
  <dataValidations count="1">
    <dataValidation type="list" allowBlank="1" showInputMessage="1" showErrorMessage="1" sqref="B2:B7 B42:B68" xr:uid="{00000000-0002-0000-03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ACC-1E24-42D0-AA3F-334532B52F19}">
  <sheetPr>
    <outlinePr summaryBelow="0"/>
  </sheetPr>
  <dimension ref="A1:C46"/>
  <sheetViews>
    <sheetView topLeftCell="A13" workbookViewId="0">
      <selection activeCell="A46" sqref="A46:XFD65"/>
    </sheetView>
  </sheetViews>
  <sheetFormatPr defaultColWidth="30.6640625" defaultRowHeight="25.05" customHeight="1" x14ac:dyDescent="0.25"/>
  <cols>
    <col min="1" max="1" width="30.6640625" style="1" customWidth="1"/>
    <col min="2" max="2" width="30.6640625" style="2" customWidth="1"/>
    <col min="3" max="16384" width="30.6640625" style="2"/>
  </cols>
  <sheetData>
    <row r="1" spans="1:3" ht="25.05" customHeight="1" x14ac:dyDescent="0.25">
      <c r="A1" s="61" t="s">
        <v>44</v>
      </c>
      <c r="B1" s="62"/>
      <c r="C1" s="62"/>
    </row>
    <row r="2" spans="1:3" ht="25.05" customHeight="1" x14ac:dyDescent="0.25">
      <c r="A2" s="4" t="s">
        <v>45</v>
      </c>
      <c r="B2" s="4" t="s">
        <v>46</v>
      </c>
      <c r="C2" s="4" t="s">
        <v>47</v>
      </c>
    </row>
    <row r="3" spans="1:3" ht="25.05" customHeight="1" x14ac:dyDescent="0.25">
      <c r="A3" s="5" t="s">
        <v>48</v>
      </c>
      <c r="B3" s="6">
        <f>SUM(收入明细260410[收入明细])</f>
        <v>0</v>
      </c>
      <c r="C3" s="5" t="s">
        <v>49</v>
      </c>
    </row>
    <row r="4" spans="1:3" ht="25.05" customHeight="1" x14ac:dyDescent="0.25">
      <c r="A4" s="7" t="s">
        <v>50</v>
      </c>
      <c r="B4" s="8">
        <f>SUM(支出明细26049[支出明细])</f>
        <v>22608</v>
      </c>
      <c r="C4" s="7" t="s">
        <v>49</v>
      </c>
    </row>
    <row r="5" spans="1:3" ht="25.05" customHeight="1" x14ac:dyDescent="0.25">
      <c r="A5" s="9" t="s">
        <v>51</v>
      </c>
      <c r="B5" s="10">
        <f>$B$3-SUMIF(支出明细26049[分类],"食材",支出明细26049[支出明细])</f>
        <v>-2000</v>
      </c>
      <c r="C5" s="9" t="s">
        <v>49</v>
      </c>
    </row>
    <row r="6" spans="1:3" ht="25.05" customHeight="1" x14ac:dyDescent="0.25">
      <c r="A6" s="9" t="s">
        <v>52</v>
      </c>
      <c r="B6" s="10">
        <f>$B$3-$B$4</f>
        <v>-22608</v>
      </c>
      <c r="C6" s="9" t="s">
        <v>49</v>
      </c>
    </row>
    <row r="7" spans="1:3" ht="25.05" customHeight="1" x14ac:dyDescent="0.25">
      <c r="A7" s="9" t="s">
        <v>53</v>
      </c>
      <c r="B7" s="11" t="e">
        <f>$B$5/$B$3</f>
        <v>#DIV/0!</v>
      </c>
      <c r="C7" s="9" t="s">
        <v>54</v>
      </c>
    </row>
    <row r="8" spans="1:3" ht="25.05" customHeight="1" x14ac:dyDescent="0.25">
      <c r="A8" s="9" t="s">
        <v>55</v>
      </c>
      <c r="B8" s="11" t="e">
        <f>$B$6/$B$3</f>
        <v>#DIV/0!</v>
      </c>
      <c r="C8" s="9" t="s">
        <v>54</v>
      </c>
    </row>
    <row r="9" spans="1:3" ht="25.05" customHeight="1" x14ac:dyDescent="0.25">
      <c r="A9" s="12"/>
      <c r="B9" s="3"/>
      <c r="C9" s="3"/>
    </row>
    <row r="10" spans="1:3" ht="25.05" customHeight="1" x14ac:dyDescent="0.25">
      <c r="A10" s="12"/>
      <c r="B10" s="3"/>
      <c r="C10" s="3"/>
    </row>
    <row r="11" spans="1:3" ht="25.05" customHeight="1" x14ac:dyDescent="0.25">
      <c r="A11" s="63" t="s">
        <v>56</v>
      </c>
      <c r="B11" s="62"/>
      <c r="C11" s="62"/>
    </row>
    <row r="12" spans="1:3" ht="25.05" customHeight="1" x14ac:dyDescent="0.25">
      <c r="A12" s="13" t="s">
        <v>57</v>
      </c>
      <c r="B12" s="13" t="s">
        <v>58</v>
      </c>
      <c r="C12" s="13" t="s">
        <v>59</v>
      </c>
    </row>
    <row r="13" spans="1:3" ht="25.05" customHeight="1" x14ac:dyDescent="0.25">
      <c r="A13" s="9" t="s">
        <v>60</v>
      </c>
      <c r="B13" s="10">
        <f>SUMIF(收入明细260410[分类],"淘宝外卖",收入明细260410[收入明细])</f>
        <v>0</v>
      </c>
      <c r="C13" s="11" t="e">
        <f>$B$13/$B$3</f>
        <v>#DIV/0!</v>
      </c>
    </row>
    <row r="14" spans="1:3" ht="25.05" customHeight="1" x14ac:dyDescent="0.25">
      <c r="A14" s="9" t="s">
        <v>61</v>
      </c>
      <c r="B14" s="10">
        <f>SUMIF(收入明细260410[分类],"美团外卖",收入明细260410[收入明细])</f>
        <v>0</v>
      </c>
      <c r="C14" s="11" t="e">
        <f>$B$14/$B$3</f>
        <v>#DIV/0!</v>
      </c>
    </row>
    <row r="15" spans="1:3" ht="25.05" customHeight="1" x14ac:dyDescent="0.25">
      <c r="A15" s="9" t="s">
        <v>62</v>
      </c>
      <c r="B15" s="10">
        <f>SUMIF(收入明细260410[分类],"微信堂食",收入明细260410[收入明细])</f>
        <v>0</v>
      </c>
      <c r="C15" s="11" t="e">
        <f>$B$15/$B$3</f>
        <v>#DIV/0!</v>
      </c>
    </row>
    <row r="16" spans="1:3" ht="25.05" customHeight="1" x14ac:dyDescent="0.25">
      <c r="A16" s="9" t="s">
        <v>63</v>
      </c>
      <c r="B16" s="10">
        <f>SUMIF(收入明细260410[分类],"支付宝堂食",收入明细260410[收入明细])</f>
        <v>0</v>
      </c>
      <c r="C16" s="11" t="e">
        <f>$B$16/$B$3</f>
        <v>#DIV/0!</v>
      </c>
    </row>
    <row r="17" spans="1:3" ht="25.05" customHeight="1" x14ac:dyDescent="0.25">
      <c r="A17" s="9" t="s">
        <v>64</v>
      </c>
      <c r="B17" s="10">
        <f>SUMIF(收入明细260410[分类],"京东外卖",收入明细260410[收入明细])</f>
        <v>0</v>
      </c>
      <c r="C17" s="11" t="e">
        <f>$B$17/$B$3</f>
        <v>#DIV/0!</v>
      </c>
    </row>
    <row r="18" spans="1:3" ht="25.05" customHeight="1" x14ac:dyDescent="0.25">
      <c r="A18" s="14" t="s">
        <v>65</v>
      </c>
      <c r="B18" s="15">
        <f>SUM(B13:B17)</f>
        <v>0</v>
      </c>
      <c r="C18" s="16" t="e">
        <f>SUM($C$13:$C$17)</f>
        <v>#DIV/0!</v>
      </c>
    </row>
    <row r="19" spans="1:3" customFormat="1" ht="25.05" customHeight="1" x14ac:dyDescent="0.25"/>
    <row r="20" spans="1:3" customFormat="1" ht="25.05" customHeight="1" x14ac:dyDescent="0.25"/>
    <row r="21" spans="1:3" ht="25.05" customHeight="1" x14ac:dyDescent="0.25">
      <c r="A21" s="64" t="s">
        <v>66</v>
      </c>
      <c r="B21" s="64"/>
      <c r="C21" s="64"/>
    </row>
    <row r="22" spans="1:3" ht="25.05" customHeight="1" x14ac:dyDescent="0.25">
      <c r="A22" s="65" t="s">
        <v>67</v>
      </c>
      <c r="B22" s="66"/>
      <c r="C22" s="67"/>
    </row>
    <row r="23" spans="1:3" ht="25.05" customHeight="1" x14ac:dyDescent="0.25">
      <c r="A23" s="9" t="s">
        <v>25</v>
      </c>
      <c r="B23" s="10">
        <f>SUMIF(支出明细26049[分类],"食材",支出明细26049[支出明细])</f>
        <v>2000</v>
      </c>
      <c r="C23" s="11">
        <f>$B$23/$B$4</f>
        <v>8.8464260438782735E-2</v>
      </c>
    </row>
    <row r="24" spans="1:3" ht="25.05" customHeight="1" x14ac:dyDescent="0.25">
      <c r="A24" s="9" t="s">
        <v>68</v>
      </c>
      <c r="B24" s="10">
        <f>SUMIF(支出明细26049[分类],"工资",支出明细26049[支出明细])</f>
        <v>12000</v>
      </c>
      <c r="C24" s="11">
        <f>$B$24/$B$4</f>
        <v>0.53078556263269638</v>
      </c>
    </row>
    <row r="25" spans="1:3" ht="25.05" customHeight="1" x14ac:dyDescent="0.25">
      <c r="A25" s="9" t="s">
        <v>6</v>
      </c>
      <c r="B25" s="10">
        <f>SUMIF(支出明细26049[分类],"房租",支出明细26049[支出明细])</f>
        <v>4333</v>
      </c>
      <c r="C25" s="11">
        <f>$B$25/$B$4</f>
        <v>0.19165782024062278</v>
      </c>
    </row>
    <row r="26" spans="1:3" ht="25.05" customHeight="1" x14ac:dyDescent="0.25">
      <c r="A26" s="9" t="s">
        <v>32</v>
      </c>
      <c r="B26" s="10">
        <f>SUMIF(支出明细26049[分类],"推广",支出明细26049[支出明细])</f>
        <v>0</v>
      </c>
      <c r="C26" s="11">
        <f>$B$26/$B$4</f>
        <v>0</v>
      </c>
    </row>
    <row r="27" spans="1:3" ht="25.05" customHeight="1" x14ac:dyDescent="0.25">
      <c r="A27" s="9" t="s">
        <v>37</v>
      </c>
      <c r="B27" s="10">
        <f>SUMIF(支出明细26049[分类],"水电",支出明细26049[支出明细])</f>
        <v>3000</v>
      </c>
      <c r="C27" s="11">
        <f>$B$27/$B$4</f>
        <v>0.1326963906581741</v>
      </c>
    </row>
    <row r="28" spans="1:3" ht="25.05" customHeight="1" x14ac:dyDescent="0.25">
      <c r="A28" s="9" t="s">
        <v>14</v>
      </c>
      <c r="B28" s="10">
        <f>SUMIF(支出明细26049[分类],"其他",支出明细26049[支出明细])</f>
        <v>1275</v>
      </c>
      <c r="C28" s="11">
        <f>$B$28/$B$4</f>
        <v>5.6395966029723993E-2</v>
      </c>
    </row>
    <row r="29" spans="1:3" ht="25.05" customHeight="1" x14ac:dyDescent="0.25">
      <c r="A29" s="17" t="s">
        <v>65</v>
      </c>
      <c r="B29" s="18">
        <f>SUM(B23:B28)</f>
        <v>22608</v>
      </c>
      <c r="C29" s="19">
        <f>SUM($C$23:$C$28)</f>
        <v>0.99999999999999989</v>
      </c>
    </row>
    <row r="32" spans="1:3" ht="25.05" customHeight="1" x14ac:dyDescent="0.25">
      <c r="A32" s="20" t="s">
        <v>69</v>
      </c>
      <c r="B32" s="21" t="s">
        <v>4</v>
      </c>
      <c r="C32" s="22" t="s">
        <v>5</v>
      </c>
    </row>
    <row r="33" spans="1:3" ht="25.05" customHeight="1" x14ac:dyDescent="0.25">
      <c r="A33" s="23">
        <v>0</v>
      </c>
      <c r="B33" s="21" t="s">
        <v>135</v>
      </c>
      <c r="C33" s="22"/>
    </row>
    <row r="34" spans="1:3" ht="25.05" customHeight="1" x14ac:dyDescent="0.25">
      <c r="A34" s="23">
        <v>0</v>
      </c>
      <c r="B34" s="21" t="s">
        <v>136</v>
      </c>
      <c r="C34" s="22"/>
    </row>
    <row r="35" spans="1:3" ht="25.05" customHeight="1" x14ac:dyDescent="0.25">
      <c r="A35" s="23">
        <v>0</v>
      </c>
      <c r="B35" s="21" t="s">
        <v>63</v>
      </c>
      <c r="C35" s="22"/>
    </row>
    <row r="36" spans="1:3" ht="25.05" customHeight="1" x14ac:dyDescent="0.25">
      <c r="A36" s="23">
        <v>0</v>
      </c>
      <c r="B36" s="21" t="s">
        <v>64</v>
      </c>
      <c r="C36" s="22"/>
    </row>
    <row r="37" spans="1:3" ht="25.05" customHeight="1" x14ac:dyDescent="0.25">
      <c r="A37" s="23">
        <v>0</v>
      </c>
      <c r="B37" s="21" t="s">
        <v>60</v>
      </c>
      <c r="C37" s="22"/>
    </row>
    <row r="38" spans="1:3" ht="25.05" customHeight="1" x14ac:dyDescent="0.25">
      <c r="A38" s="23">
        <v>0</v>
      </c>
      <c r="B38" s="21" t="s">
        <v>61</v>
      </c>
      <c r="C38" s="22"/>
    </row>
    <row r="39" spans="1:3" ht="25.05" customHeight="1" x14ac:dyDescent="0.25">
      <c r="A39" s="20"/>
      <c r="B39" s="24"/>
      <c r="C39" s="25"/>
    </row>
    <row r="40" spans="1:3" ht="25.05" customHeight="1" x14ac:dyDescent="0.25">
      <c r="A40" s="20"/>
      <c r="B40" s="24"/>
      <c r="C40" s="26"/>
    </row>
    <row r="41" spans="1:3" ht="25.05" customHeight="1" x14ac:dyDescent="0.25">
      <c r="A41" s="20" t="s">
        <v>71</v>
      </c>
      <c r="B41" s="22" t="s">
        <v>4</v>
      </c>
      <c r="C41" s="22" t="s">
        <v>5</v>
      </c>
    </row>
    <row r="42" spans="1:3" ht="25.05" hidden="1" customHeight="1" x14ac:dyDescent="0.25">
      <c r="A42" s="20">
        <v>4333</v>
      </c>
      <c r="B42" s="22" t="s">
        <v>6</v>
      </c>
      <c r="C42" s="22" t="s">
        <v>72</v>
      </c>
    </row>
    <row r="43" spans="1:3" ht="25.05" hidden="1" customHeight="1" x14ac:dyDescent="0.25">
      <c r="A43" s="20">
        <v>12000</v>
      </c>
      <c r="B43" s="22" t="s">
        <v>68</v>
      </c>
      <c r="C43" s="22" t="s">
        <v>137</v>
      </c>
    </row>
    <row r="44" spans="1:3" ht="25.05" hidden="1" customHeight="1" x14ac:dyDescent="0.25">
      <c r="A44" s="20">
        <v>3000</v>
      </c>
      <c r="B44" s="22" t="s">
        <v>37</v>
      </c>
      <c r="C44" s="22" t="s">
        <v>137</v>
      </c>
    </row>
    <row r="45" spans="1:3" ht="25.05" customHeight="1" x14ac:dyDescent="0.25">
      <c r="A45" s="20">
        <v>2000</v>
      </c>
      <c r="B45" s="21" t="s">
        <v>25</v>
      </c>
      <c r="C45" s="22" t="s">
        <v>140</v>
      </c>
    </row>
    <row r="46" spans="1:3" ht="25.05" hidden="1" customHeight="1" x14ac:dyDescent="0.25">
      <c r="A46" s="20">
        <v>1275</v>
      </c>
      <c r="B46" s="2" t="s">
        <v>14</v>
      </c>
      <c r="C46" s="74" t="s">
        <v>159</v>
      </c>
    </row>
  </sheetData>
  <mergeCells count="4">
    <mergeCell ref="A1:C1"/>
    <mergeCell ref="A11:C11"/>
    <mergeCell ref="A21:C21"/>
    <mergeCell ref="A22:C22"/>
  </mergeCells>
  <phoneticPr fontId="7" type="noConversion"/>
  <dataValidations count="1">
    <dataValidation type="list" allowBlank="1" showInputMessage="1" showErrorMessage="1" sqref="B2:B7 B42:B46" xr:uid="{E11436FB-3FA9-47A9-A3BD-6D9E7770B877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成川 李</cp:lastModifiedBy>
  <dcterms:created xsi:type="dcterms:W3CDTF">2026-02-28T11:28:00Z</dcterms:created>
  <dcterms:modified xsi:type="dcterms:W3CDTF">2026-04-25T10:41:55Z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