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00"/>
  </bookViews>
  <sheets>
    <sheet name="开店成本清单" sheetId="1" r:id="rId1"/>
    <sheet name="流水-202602" sheetId="2" r:id="rId2"/>
  </sheets>
  <calcPr calcId="144525"/>
</workbook>
</file>

<file path=xl/sharedStrings.xml><?xml version="1.0" encoding="utf-8"?>
<sst xmlns="http://schemas.openxmlformats.org/spreadsheetml/2006/main" count="100" uniqueCount="51">
  <si>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</si>
  <si>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</si>
  <si>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</si>
  <si>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</si>
  <si>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</si>
  <si>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</si>
  <si>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</si>
  <si>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</si>
  <si>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</si>
  <si>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</si>
  <si>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</si>
  <si>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</si>
  <si>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</si>
  <si>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</si>
  <si>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</si>
  <si>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</si>
  <si>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</si>
  <si>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</si>
  <si>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</si>
  <si>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</si>
  <si>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</si>
  <si>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</si>
  <si>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</si>
  <si>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</si>
  <si>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</si>
  <si>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</si>
  <si>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</si>
  <si>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</si>
  <si>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</si>
  <si>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</si>
  <si>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</si>
  <si>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</si>
  <si>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</si>
  <si>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</si>
  <si>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</si>
  <si>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</si>
  <si>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水电</t>
  </si>
  <si>
    <t>一月电费</t>
  </si>
  <si>
    <t>成本明细</t>
  </si>
  <si>
    <t>月租金</t>
  </si>
  <si>
    <t>工资</t>
  </si>
  <si>
    <t>2员工工资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</si>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</sst>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#,##0.00_ "/>
    <numFmt numFmtId="177" formatCode="0.00_);[Red]\(0.00\)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FF00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5" fillId="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5" fillId="21" borderId="7" applyNumberFormat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7" fillId="23" borderId="8" applyNumberFormat="0" applyAlignment="0" applyProtection="0">
      <alignment vertical="center"/>
    </xf>
    <xf numFmtId="0" fontId="12" fillId="16" borderId="5" applyNumberFormat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77" fontId="1" fillId="0" borderId="0" xfId="0" applyNumberFormat="1" applyFont="1"/>
    <xf numFmtId="3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176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3" fontId="0" fillId="0" borderId="0" xfId="0" applyNumberFormat="1" applyAlignment="1">
      <alignment horizontal="left"/>
    </xf>
    <xf numFmtId="4" fontId="0" fillId="0" borderId="0" xfId="0" applyNumberFormat="1"/>
    <xf numFmtId="4" fontId="1" fillId="0" borderId="0" xfId="0" applyNumberFormat="1" applyFont="1"/>
    <xf numFmtId="0" fontId="1" fillId="0" borderId="0" xfId="0" applyFont="1" applyAlignme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34" totalsRowShown="0">
  <autoFilter ref="A5:C34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营业额明细表" displayName="营业额明细表" ref="A16:C20" totalsRowShown="0">
  <autoFilter ref="A16:C20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成本明细表" displayName="成本明细表" ref="A1:C12" totalsRowShown="0">
  <autoFilter ref="A1:C12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F43"/>
  <sheetViews>
    <sheetView tabSelected="1" workbookViewId="0">
      <selection activeCell="B6" sqref="B6"/>
    </sheetView>
  </sheetViews>
  <sheetFormatPr defaultColWidth="9" defaultRowHeight="16.8" outlineLevelCol="5"/>
  <cols>
    <col min="1" max="1" width="23.75" style="10" customWidth="1"/>
    <col min="2" max="2" width="20.375" customWidth="1"/>
    <col min="3" max="3" width="37.25" style="11" customWidth="1"/>
  </cols>
  <sheetData>
    <row r="1" ht="15" customHeight="1" spans="1:6">
      <c r="A1" s="5" t="s">
        <v>0</v>
      </c>
      <c r="B1" s="1"/>
      <c r="C1" s="8">
        <v>100000</v>
      </c>
      <c r="D1" s="1"/>
      <c r="E1" s="1"/>
      <c r="F1" s="1"/>
    </row>
    <row r="2" ht="15" customHeight="1" spans="1:6">
      <c r="A2" s="5" t="s">
        <v>1</v>
      </c>
      <c r="B2" s="1"/>
      <c r="C2" s="9">
        <f>SUM(成本明细[金额(元)])</f>
        <v>92744.55</v>
      </c>
      <c r="D2" s="1"/>
      <c r="E2" s="1"/>
      <c r="F2" s="1"/>
    </row>
    <row r="3" ht="15" customHeight="1" spans="1:6">
      <c r="A3" s="5" t="s">
        <v>2</v>
      </c>
      <c r="B3" s="1"/>
      <c r="C3" s="9">
        <f>C1-C2</f>
        <v>7255.44999999998</v>
      </c>
      <c r="D3" s="1"/>
      <c r="E3" s="1"/>
      <c r="F3" s="1"/>
    </row>
    <row r="4" ht="15" customHeight="1" spans="1:6">
      <c r="A4" s="5"/>
      <c r="B4" s="1"/>
      <c r="C4" s="12"/>
      <c r="D4" s="1"/>
      <c r="E4" s="1"/>
      <c r="F4" s="1"/>
    </row>
    <row r="5" ht="15" customHeight="1" spans="1:6">
      <c r="A5" s="5" t="s">
        <v>3</v>
      </c>
      <c r="B5" s="6" t="s">
        <v>4</v>
      </c>
      <c r="C5" s="3" t="s">
        <v>5</v>
      </c>
      <c r="D5" s="1"/>
      <c r="E5" s="1"/>
      <c r="F5" s="1"/>
    </row>
    <row r="6" ht="15" customHeight="1" spans="1:6">
      <c r="A6" s="2">
        <v>10000</v>
      </c>
      <c r="B6" s="13" t="s">
        <v>6</v>
      </c>
      <c r="C6" s="3" t="s">
        <v>7</v>
      </c>
      <c r="D6" s="1"/>
      <c r="E6" s="1"/>
      <c r="F6" s="1"/>
    </row>
    <row r="7" ht="15" customHeight="1" spans="1:6">
      <c r="A7" s="2">
        <v>26000</v>
      </c>
      <c r="B7" s="13" t="s">
        <v>6</v>
      </c>
      <c r="C7" s="3" t="s">
        <v>8</v>
      </c>
      <c r="D7" s="1"/>
      <c r="E7" s="1"/>
      <c r="F7" s="1"/>
    </row>
    <row r="8" ht="15" customHeight="1" spans="1:6">
      <c r="A8" s="2">
        <v>6000</v>
      </c>
      <c r="B8" s="13" t="s">
        <v>9</v>
      </c>
      <c r="C8" s="3" t="s">
        <v>10</v>
      </c>
      <c r="D8" s="1"/>
      <c r="E8" s="1"/>
      <c r="F8" s="1"/>
    </row>
    <row r="9" ht="15" customHeight="1" spans="1:6">
      <c r="A9" s="2">
        <v>3000</v>
      </c>
      <c r="B9" s="13" t="s">
        <v>9</v>
      </c>
      <c r="C9" s="3" t="s">
        <v>11</v>
      </c>
      <c r="D9" s="1"/>
      <c r="E9" s="1"/>
      <c r="F9" s="1"/>
    </row>
    <row r="10" ht="15" customHeight="1" spans="1:6">
      <c r="A10" s="2">
        <v>2100</v>
      </c>
      <c r="B10" s="13" t="s">
        <v>9</v>
      </c>
      <c r="C10" s="3" t="s">
        <v>12</v>
      </c>
      <c r="D10" s="1"/>
      <c r="E10" s="1"/>
      <c r="F10" s="1"/>
    </row>
    <row r="11" ht="15" customHeight="1" spans="1:6">
      <c r="A11" s="2">
        <v>340</v>
      </c>
      <c r="B11" s="13" t="s">
        <v>9</v>
      </c>
      <c r="C11" s="3" t="s">
        <v>13</v>
      </c>
      <c r="D11" s="1"/>
      <c r="E11" s="1"/>
      <c r="F11" s="1"/>
    </row>
    <row r="12" ht="15" customHeight="1" spans="1:6">
      <c r="A12" s="2">
        <v>200</v>
      </c>
      <c r="B12" s="13" t="s">
        <v>14</v>
      </c>
      <c r="C12" s="3" t="s">
        <v>15</v>
      </c>
      <c r="D12" s="1"/>
      <c r="E12" s="1"/>
      <c r="F12" s="1"/>
    </row>
    <row r="13" ht="15" customHeight="1" spans="1:6">
      <c r="A13" s="2">
        <v>11000</v>
      </c>
      <c r="B13" s="13" t="s">
        <v>16</v>
      </c>
      <c r="C13" s="3" t="s">
        <v>17</v>
      </c>
      <c r="D13" s="1"/>
      <c r="E13" s="1"/>
      <c r="F13" s="1"/>
    </row>
    <row r="14" ht="15" customHeight="1" spans="1:6">
      <c r="A14" s="2">
        <v>5000</v>
      </c>
      <c r="B14" s="13" t="s">
        <v>9</v>
      </c>
      <c r="C14" s="3" t="s">
        <v>18</v>
      </c>
      <c r="D14" s="1"/>
      <c r="E14" s="1"/>
      <c r="F14" s="1"/>
    </row>
    <row r="15" ht="15" customHeight="1" spans="1:6">
      <c r="A15" s="2">
        <v>755</v>
      </c>
      <c r="B15" s="13" t="s">
        <v>16</v>
      </c>
      <c r="C15" s="3" t="s">
        <v>19</v>
      </c>
      <c r="D15" s="1"/>
      <c r="E15" s="1"/>
      <c r="F15" s="1"/>
    </row>
    <row r="16" ht="15" customHeight="1" spans="1:6">
      <c r="A16" s="2">
        <v>190</v>
      </c>
      <c r="B16" s="13" t="s">
        <v>9</v>
      </c>
      <c r="C16" s="3" t="s">
        <v>20</v>
      </c>
      <c r="D16" s="1"/>
      <c r="E16" s="1"/>
      <c r="F16" s="1"/>
    </row>
    <row r="17" ht="15" customHeight="1" spans="1:6">
      <c r="A17" s="2">
        <v>405.9</v>
      </c>
      <c r="B17" s="13" t="s">
        <v>16</v>
      </c>
      <c r="C17" s="3" t="s">
        <v>21</v>
      </c>
      <c r="D17" s="1"/>
      <c r="E17" s="1"/>
      <c r="F17" s="1"/>
    </row>
    <row r="18" ht="15" customHeight="1" spans="1:6">
      <c r="A18" s="2">
        <v>228</v>
      </c>
      <c r="B18" s="13" t="s">
        <v>16</v>
      </c>
      <c r="C18" s="3" t="s">
        <v>22</v>
      </c>
      <c r="D18" s="1"/>
      <c r="E18" s="1"/>
      <c r="F18" s="1"/>
    </row>
    <row r="19" ht="15" customHeight="1" spans="1:6">
      <c r="A19" s="2">
        <v>639.5</v>
      </c>
      <c r="B19" s="13" t="s">
        <v>16</v>
      </c>
      <c r="C19" s="3" t="s">
        <v>23</v>
      </c>
      <c r="D19" s="1"/>
      <c r="E19" s="1"/>
      <c r="F19" s="1"/>
    </row>
    <row r="20" ht="15" customHeight="1" spans="1:6">
      <c r="A20" s="2">
        <v>1259.1</v>
      </c>
      <c r="B20" s="13" t="s">
        <v>16</v>
      </c>
      <c r="C20" s="3" t="s">
        <v>24</v>
      </c>
      <c r="D20" s="1"/>
      <c r="E20" s="1"/>
      <c r="F20" s="1"/>
    </row>
    <row r="21" ht="15" customHeight="1" spans="1:6">
      <c r="A21" s="2">
        <v>1000</v>
      </c>
      <c r="B21" s="13" t="s">
        <v>25</v>
      </c>
      <c r="C21" s="12" t="s">
        <v>26</v>
      </c>
      <c r="D21" s="1"/>
      <c r="E21" s="1"/>
      <c r="F21" s="1"/>
    </row>
    <row r="22" ht="15" customHeight="1" spans="1:6">
      <c r="A22" s="2">
        <v>13260</v>
      </c>
      <c r="B22" s="13" t="s">
        <v>25</v>
      </c>
      <c r="C22" s="3" t="s">
        <v>27</v>
      </c>
      <c r="D22" s="1"/>
      <c r="E22" s="1"/>
      <c r="F22" s="1"/>
    </row>
    <row r="23" ht="15" customHeight="1" spans="1:6">
      <c r="A23" s="2">
        <v>47.97</v>
      </c>
      <c r="B23" s="13" t="s">
        <v>14</v>
      </c>
      <c r="C23" s="3" t="s">
        <v>28</v>
      </c>
      <c r="D23" s="1"/>
      <c r="E23" s="1"/>
      <c r="F23" s="1"/>
    </row>
    <row r="24" ht="15" customHeight="1" spans="1:6">
      <c r="A24" s="2">
        <v>276.1</v>
      </c>
      <c r="B24" s="13" t="s">
        <v>14</v>
      </c>
      <c r="C24" s="3" t="s">
        <v>29</v>
      </c>
      <c r="D24" s="1"/>
      <c r="E24" s="1"/>
      <c r="F24" s="1"/>
    </row>
    <row r="25" ht="15" customHeight="1" spans="1:6">
      <c r="A25" s="2">
        <v>6000</v>
      </c>
      <c r="B25" s="13" t="s">
        <v>9</v>
      </c>
      <c r="C25" s="12" t="s">
        <v>30</v>
      </c>
      <c r="D25" s="1"/>
      <c r="E25" s="1"/>
      <c r="F25" s="1"/>
    </row>
    <row r="26" ht="15" customHeight="1" spans="1:6">
      <c r="A26" s="2">
        <v>640</v>
      </c>
      <c r="B26" s="13" t="s">
        <v>9</v>
      </c>
      <c r="C26" s="12" t="s">
        <v>31</v>
      </c>
      <c r="D26" s="1"/>
      <c r="E26" s="1"/>
      <c r="F26" s="1"/>
    </row>
    <row r="27" ht="15" customHeight="1" spans="1:6">
      <c r="A27" s="2">
        <v>500</v>
      </c>
      <c r="B27" s="13" t="s">
        <v>32</v>
      </c>
      <c r="C27" s="12" t="s">
        <v>33</v>
      </c>
      <c r="D27" s="1"/>
      <c r="E27" s="1"/>
      <c r="F27" s="1"/>
    </row>
    <row r="28" ht="15" customHeight="1" spans="1:6">
      <c r="A28" s="2">
        <v>600</v>
      </c>
      <c r="B28" s="13" t="s">
        <v>32</v>
      </c>
      <c r="C28" s="12" t="s">
        <v>34</v>
      </c>
      <c r="D28" s="1"/>
      <c r="E28" s="1"/>
      <c r="F28" s="1"/>
    </row>
    <row r="29" ht="15" customHeight="1" spans="1:6">
      <c r="A29" s="2">
        <v>938</v>
      </c>
      <c r="B29" s="13" t="s">
        <v>25</v>
      </c>
      <c r="C29" s="12" t="s">
        <v>35</v>
      </c>
      <c r="D29" s="1"/>
      <c r="E29" s="1"/>
      <c r="F29" s="1"/>
    </row>
    <row r="30" ht="15" customHeight="1" spans="1:6">
      <c r="A30" s="2">
        <v>1000</v>
      </c>
      <c r="B30" s="13" t="s">
        <v>25</v>
      </c>
      <c r="C30" s="12" t="s">
        <v>26</v>
      </c>
      <c r="D30" s="1"/>
      <c r="E30" s="1"/>
      <c r="F30" s="1"/>
    </row>
    <row r="31" ht="15" customHeight="1" spans="1:6">
      <c r="A31" s="2">
        <v>160.41</v>
      </c>
      <c r="B31" s="13" t="s">
        <v>25</v>
      </c>
      <c r="C31" s="12" t="s">
        <v>35</v>
      </c>
      <c r="D31" s="1"/>
      <c r="E31" s="1"/>
      <c r="F31" s="1"/>
    </row>
    <row r="32" ht="15" customHeight="1" spans="1:6">
      <c r="A32" s="2">
        <v>162.41</v>
      </c>
      <c r="B32" s="13" t="s">
        <v>36</v>
      </c>
      <c r="C32" s="12" t="s">
        <v>37</v>
      </c>
      <c r="D32" s="1"/>
      <c r="E32" s="1"/>
      <c r="F32" s="1"/>
    </row>
    <row r="33" ht="15" customHeight="1" spans="1:6">
      <c r="A33" s="2">
        <v>42.16</v>
      </c>
      <c r="B33" s="13" t="s">
        <v>25</v>
      </c>
      <c r="C33" s="12" t="s">
        <v>35</v>
      </c>
      <c r="D33" s="1"/>
      <c r="E33" s="1"/>
      <c r="F33" s="1"/>
    </row>
    <row r="34" ht="15" customHeight="1" spans="1:6">
      <c r="A34" s="2">
        <v>1000</v>
      </c>
      <c r="B34" s="13" t="s">
        <v>25</v>
      </c>
      <c r="C34" s="12" t="s">
        <v>26</v>
      </c>
      <c r="D34" s="1"/>
      <c r="E34" s="1"/>
      <c r="F34" s="1"/>
    </row>
    <row r="35" ht="15" customHeight="1" spans="1:6">
      <c r="A35" s="2"/>
      <c r="B35" s="13"/>
      <c r="C35" s="12"/>
      <c r="D35" s="1"/>
      <c r="E35" s="1"/>
      <c r="F35" s="1"/>
    </row>
    <row r="36" ht="15" customHeight="1" spans="1:6">
      <c r="A36" s="5"/>
      <c r="B36" s="1"/>
      <c r="C36" s="12"/>
      <c r="D36" s="1"/>
      <c r="E36" s="1"/>
      <c r="F36" s="1"/>
    </row>
    <row r="37" ht="15" customHeight="1" spans="1:6">
      <c r="A37" s="5"/>
      <c r="B37" s="1"/>
      <c r="C37" s="12"/>
      <c r="D37" s="1"/>
      <c r="E37" s="1"/>
      <c r="F37" s="1"/>
    </row>
    <row r="38" ht="15" customHeight="1" spans="1:6">
      <c r="A38" s="5"/>
      <c r="B38" s="1"/>
      <c r="C38" s="12"/>
      <c r="D38" s="1"/>
      <c r="E38" s="1"/>
      <c r="F38" s="1"/>
    </row>
    <row r="39" ht="15" customHeight="1" spans="1:6">
      <c r="A39" s="5"/>
      <c r="B39" s="1"/>
      <c r="C39" s="12"/>
      <c r="D39" s="1"/>
      <c r="E39" s="1"/>
      <c r="F39" s="1"/>
    </row>
    <row r="40" ht="15" customHeight="1" spans="1:6">
      <c r="A40" s="5"/>
      <c r="B40" s="1"/>
      <c r="C40" s="12"/>
      <c r="D40" s="1"/>
      <c r="E40" s="1"/>
      <c r="F40" s="1"/>
    </row>
    <row r="41" ht="15" customHeight="1"/>
    <row r="42" ht="15" customHeight="1"/>
    <row r="43" ht="15" customHeight="1"/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6:B35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6"/>
  <sheetViews>
    <sheetView workbookViewId="0">
      <selection activeCell="B23" sqref="B23"/>
    </sheetView>
  </sheetViews>
  <sheetFormatPr defaultColWidth="9" defaultRowHeight="15" customHeight="1" outlineLevelCol="2"/>
  <cols>
    <col min="1" max="1" width="21.125" style="1" customWidth="1"/>
    <col min="2" max="2" width="19.75" style="1" customWidth="1"/>
    <col min="3" max="3" width="23.25" style="1" customWidth="1"/>
    <col min="4" max="16384" width="9" style="1"/>
  </cols>
  <sheetData>
    <row r="1" customHeight="1" spans="1:3">
      <c r="A1" s="2" t="s">
        <v>38</v>
      </c>
      <c r="B1" s="3" t="s">
        <v>4</v>
      </c>
      <c r="C1" s="3" t="s">
        <v>5</v>
      </c>
    </row>
    <row r="2" customHeight="1" spans="1:3">
      <c r="A2" s="2">
        <v>4333</v>
      </c>
      <c r="B2" s="3" t="s">
        <v>6</v>
      </c>
      <c r="C2" s="3" t="s">
        <v>39</v>
      </c>
    </row>
    <row r="3" customHeight="1" spans="1:3">
      <c r="A3" s="2">
        <v>12000</v>
      </c>
      <c r="B3" s="3" t="s">
        <v>40</v>
      </c>
      <c r="C3" s="3" t="s">
        <v>41</v>
      </c>
    </row>
    <row r="4" customHeight="1" spans="1:3">
      <c r="A4" s="2">
        <v>1000</v>
      </c>
      <c r="B4" s="3" t="s">
        <v>25</v>
      </c>
      <c r="C4" s="3" t="s">
        <v>26</v>
      </c>
    </row>
    <row r="5" customHeight="1" spans="1:3">
      <c r="A5" s="2">
        <v>13260</v>
      </c>
      <c r="B5" s="3" t="s">
        <v>25</v>
      </c>
      <c r="C5" s="3" t="s">
        <v>27</v>
      </c>
    </row>
    <row r="6" customHeight="1" spans="1:3">
      <c r="A6" s="2">
        <v>600</v>
      </c>
      <c r="B6" s="3" t="s">
        <v>32</v>
      </c>
      <c r="C6" s="3" t="s">
        <v>34</v>
      </c>
    </row>
    <row r="7" customHeight="1" spans="1:3">
      <c r="A7" s="2">
        <v>938</v>
      </c>
      <c r="B7" s="3" t="s">
        <v>25</v>
      </c>
      <c r="C7" s="3" t="s">
        <v>35</v>
      </c>
    </row>
    <row r="8" customHeight="1" spans="1:3">
      <c r="A8" s="2">
        <v>1000</v>
      </c>
      <c r="B8" s="3" t="s">
        <v>25</v>
      </c>
      <c r="C8" s="3" t="s">
        <v>26</v>
      </c>
    </row>
    <row r="9" customHeight="1" spans="1:3">
      <c r="A9" s="2">
        <v>160.41</v>
      </c>
      <c r="B9" s="3" t="s">
        <v>25</v>
      </c>
      <c r="C9" s="3" t="s">
        <v>35</v>
      </c>
    </row>
    <row r="10" customHeight="1" spans="1:3">
      <c r="A10" s="2">
        <v>162.41</v>
      </c>
      <c r="B10" s="3" t="s">
        <v>36</v>
      </c>
      <c r="C10" s="3" t="s">
        <v>37</v>
      </c>
    </row>
    <row r="11" customHeight="1" spans="1:3">
      <c r="A11" s="2">
        <v>42.16</v>
      </c>
      <c r="B11" s="3" t="s">
        <v>25</v>
      </c>
      <c r="C11" s="3" t="s">
        <v>35</v>
      </c>
    </row>
    <row r="12" customHeight="1" spans="1:3">
      <c r="A12" s="2">
        <v>1000</v>
      </c>
      <c r="B12" s="3" t="s">
        <v>25</v>
      </c>
      <c r="C12" s="3" t="s">
        <v>26</v>
      </c>
    </row>
    <row r="13" customHeight="1" spans="1:3">
      <c r="A13" s="2"/>
      <c r="B13" s="3"/>
      <c r="C13" s="3"/>
    </row>
    <row r="14" customHeight="1" spans="1:3">
      <c r="A14" s="4"/>
      <c r="B14" s="3"/>
      <c r="C14" s="3"/>
    </row>
    <row r="15" customHeight="1" spans="1:3">
      <c r="A15" s="4"/>
      <c r="B15" s="3"/>
      <c r="C15" s="3"/>
    </row>
    <row r="16" customHeight="1" spans="1:3">
      <c r="A16" s="5" t="s">
        <v>42</v>
      </c>
      <c r="B16" s="6" t="s">
        <v>4</v>
      </c>
      <c r="C16" s="3" t="s">
        <v>5</v>
      </c>
    </row>
    <row r="17" customHeight="1" spans="1:3">
      <c r="A17" s="7">
        <v>4233.01</v>
      </c>
      <c r="B17" s="6" t="s">
        <v>43</v>
      </c>
      <c r="C17" s="3"/>
    </row>
    <row r="18" customHeight="1" spans="1:3">
      <c r="A18" s="7">
        <v>0</v>
      </c>
      <c r="B18" s="6" t="s">
        <v>44</v>
      </c>
      <c r="C18" s="3"/>
    </row>
    <row r="19" customHeight="1" spans="1:3">
      <c r="A19" s="7">
        <v>4623.5</v>
      </c>
      <c r="B19" s="6" t="s">
        <v>45</v>
      </c>
      <c r="C19" s="3"/>
    </row>
    <row r="20" customHeight="1" spans="1:3">
      <c r="A20" s="7">
        <v>2547.16</v>
      </c>
      <c r="B20" s="6" t="s">
        <v>46</v>
      </c>
      <c r="C20" s="3"/>
    </row>
    <row r="23" customHeight="1" spans="1:3">
      <c r="A23" s="5" t="s">
        <v>47</v>
      </c>
      <c r="B23" s="4">
        <f>SUM(成本明细表[成本明细])</f>
        <v>34495.98</v>
      </c>
      <c r="C23" s="8"/>
    </row>
    <row r="24" customHeight="1" spans="1:3">
      <c r="A24" s="5" t="s">
        <v>48</v>
      </c>
      <c r="B24" s="4">
        <f>SUM(营业额明细表[营业额明细])</f>
        <v>11403.67</v>
      </c>
      <c r="C24" s="9"/>
    </row>
    <row r="25" customHeight="1" spans="1:3">
      <c r="A25" s="5" t="s">
        <v>49</v>
      </c>
      <c r="C25" s="9"/>
    </row>
    <row r="26" customHeight="1" spans="1:1">
      <c r="A26" s="1" t="s">
        <v>50</v>
      </c>
    </row>
  </sheetData>
  <dataValidations count="1">
    <dataValidation type="list" allowBlank="1" showInputMessage="1" showErrorMessage="1" sqref="B2:B12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2026-01-30T19:28:00Z</dcterms:created>
  <dcterms:modified xsi:type="dcterms:W3CDTF">2026-02-16T11:38:20Z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