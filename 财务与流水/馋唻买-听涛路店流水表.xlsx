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20" tabRatio="723" firstSheet="2" activeTab="9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  <sheet name="2026-11流水" sheetId="11" r:id="rId11"/>
  </sheets>
  <calcPr calcId="144525"/>
</workbook>
</file>

<file path=xl/sharedStrings.xml><?xml version="1.0" encoding="utf-8"?>
<sst xmlns="http://schemas.openxmlformats.org/spreadsheetml/2006/main" count="1080" uniqueCount="224">
  <si>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</si>
  <si>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</si>
  <si>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</si>
  <si>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</si>
  <si>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</si>
  <si>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</si>
  <si>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</si>
  <si>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</si>
  <si>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</si>
  <si>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</si>
  <si>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</si>
  <si>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</si>
  <si>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</si>
  <si>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</si>
  <si>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</si>
  <si>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</si>
  <si>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</si>
  <si>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</si>
  <si>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</si>
  <si>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</si>
  <si>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</si>
  <si>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</si>
  <si>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</si>
  <si>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</si>
  <si>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</si>
  <si>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</si>
  <si>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</si>
  <si>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</si>
  <si>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</si>
  <si>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</si>
  <si>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</si>
  <si>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</si>
  <si>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</si>
  <si>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</si>
  <si>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</si>
  <si>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</si>
  <si>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</si>
  <si>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</si>
  <si>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</si>
  <si>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</si>
  <si>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</si>
  <si>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</si>
  <si>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</si>
  <si>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</si>
  <si>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</si>
  <si>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</si>
  <si>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</si>
  <si>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</si>
  <si>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</si>
  <si>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</si>
  <si>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</si>
  <si>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</si>
  <si>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</si>
  <si>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</si>
  <si>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</si>
  <si>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</si>
  <si>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</si>
  <si>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</si>
  <si>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</si>
  <si>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</si>
  <si>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</si>
  <si>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</si>
  <si>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</si>
  <si>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</si>
  <si>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</si>
  <si>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</si>
  <si>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</si>
  <si>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</si>
  <si>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</si>
  <si>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</si>
  <si>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</si>
  <si>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</si>
  <si>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</si>
  <si>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</si>
  <si>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</si>
  <si>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</si>
  <si>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</si>
  <si>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</si>
  <si>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</si>
  <si>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</si>
  <si>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</si>
  <si>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</si>
  <si>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</si>
  <si>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</si>
  <si>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</si>
  <si>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</si>
  <si>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</si>
  <si>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</si>
  <si>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</si>
  <si>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</si>
  <si>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</si>
  <si>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</si>
  <si>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</si>
  <si>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</si>
  <si>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</si>
  <si>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</si>
  <si>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</si>
  <si>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</si>
  <si>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</si>
  <si>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</si>
  <si>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</si>
  <si>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</si>
  <si>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</si>
  <si>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</si>
  <si>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</si>
  <si>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</si>
  <si>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</si>
  <si>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</si>
  <si>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</si>
  <si>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</si>
  <si>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</si>
  <si>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</si>
  <si>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</si>
  <si>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</si>
  <si>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</si>
  <si>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</si>
  <si>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</si>
  <si>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</si>
  <si>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</si>
  <si>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</si>
  <si>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</si>
  <si>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</si>
  <si>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</si>
  <si>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</si>
  <si>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</si>
  <si>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</si>
  <si>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</si>
  <si>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</si>
  <si>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</si>
  <si>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</si>
  <si>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</si>
  <si>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</si>
  <si>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</si>
  <si>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</si>
  <si>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</si>
  <si>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</si>
  <si>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</si>
  <si>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</si>
  <si>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</si>
  <si>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</si>
  <si>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</si>
  <si>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</si>
  <si>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</si>
  <si>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</si>
  <si>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</si>
  <si>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</si>
  <si>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</si>
  <si>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</si>
  <si>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</si>
  <si>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</si>
  <si>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</si>
  <si>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</si>
  <si>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</si>
  <si>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</si>
  <si>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</si>
  <si>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</si>
  <si>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</si>
  <si>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</si>
  <si>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</si>
  <si>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</si>
  <si>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</si>
  <si>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</si>
  <si>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</si>
  <si>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</si>
  <si>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</si>
  <si>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</si>
  <si>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</si>
  <si>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</si>
  <si>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</si>
  <si>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</si>
  <si>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</si>
  <si>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</si>
  <si>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</si>
  <si>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</si>
  <si>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</si>
  <si>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</si>
  <si>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</si>
  <si>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</si>
  <si>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</si>
  <si>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</si>
  <si>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</si>
  <si>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</si>
  <si>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</si>
  <si>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</si>
  <si>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</si>
  <si>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</si>
  <si>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</si>
  <si>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</si>
  <si>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</si>
  <si>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</si>
  <si>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</si>
  <si>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</si>
  <si>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</si>
  <si>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</si>
  <si>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</si>
  <si>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</si>
  <si>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</si>
  <si>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</si>
  <si>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</si>
  <si>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</si>
  <si>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</si>
  <si>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</si>
  <si>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</si>
  <si>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</si>
  <si>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</si>
  <si>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</si>
  <si>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</si>
  <si>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</si>
  <si>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</si>
  <si>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</si>
  <si>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</si>
  <si>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</si>
  <si>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</si>
  <si>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</si>
  <si>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</si>
  <si>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水电费付</t>
  </si>
  <si>
    <t>快驴</t>
  </si>
  <si>
    <t>烧麦</t>
  </si>
  <si>
    <t>拼多多肉片</t>
  </si>
  <si>
    <t>王道凯肉片</t>
  </si>
  <si>
    <t>牛肉酱一瓶</t>
  </si>
  <si>
    <t>老池垫付</t>
  </si>
  <si>
    <t>香菜</t>
  </si>
  <si>
    <t>酸笋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</si>
</sst>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41" formatCode="_ * #,##0_ ;_ * \-#,##0_ ;_ * &quot;-&quot;_ ;_ @_ "/>
    <numFmt numFmtId="176" formatCode="#,##0.00_ "/>
    <numFmt numFmtId="177" formatCode="0.00_);[Red]\(0.00\)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8" formatCode="0.00_ ;[Red]\-0.00\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24" fillId="41" borderId="13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1" fillId="27" borderId="13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6" fillId="21" borderId="10" applyNumberFormat="0" applyAlignment="0" applyProtection="0">
      <alignment vertical="center"/>
    </xf>
    <xf numFmtId="0" fontId="20" fillId="27" borderId="12" applyNumberFormat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2">
  <autoFilter ref="A43:C6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0" name="收入明细260410_122013151721" displayName="收入明细260410_122013151721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id="21" name="支出明细26049_111914161822" displayName="支出明细26049_111914161822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opLeftCell="A3"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15" workbookViewId="0">
      <selection activeCell="A41" sqref="A41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10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15" workbookViewId="0">
      <selection activeCell="D28" sqref="D2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opLeftCell="A8"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2"/>
  <sheetViews>
    <sheetView workbookViewId="0">
      <selection activeCell="D48" sqref="D4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36923.89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34304.54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17744.75</v>
      </c>
      <c r="C5" s="15" t="s">
        <v>49</v>
      </c>
    </row>
    <row r="6" customHeight="1" spans="1:3">
      <c r="A6" s="13" t="s">
        <v>52</v>
      </c>
      <c r="B6" s="14">
        <f>$B$3-$B$4</f>
        <v>2619.34999999999</v>
      </c>
      <c r="C6" s="15" t="s">
        <v>49</v>
      </c>
    </row>
    <row r="7" customHeight="1" spans="1:3">
      <c r="A7" s="13" t="s">
        <v>53</v>
      </c>
      <c r="B7" s="16">
        <f>$B$5/$B$3</f>
        <v>0.480576396473936</v>
      </c>
      <c r="C7" s="15" t="s">
        <v>54</v>
      </c>
    </row>
    <row r="8" customHeight="1" spans="1:3">
      <c r="A8" s="13" t="s">
        <v>55</v>
      </c>
      <c r="B8" s="16">
        <f>$B$6/$B$3</f>
        <v>0.0709391670270925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16613.36</v>
      </c>
      <c r="C13" s="16">
        <f>$B$13/$B$3</f>
        <v>0.449935258717324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14177.95</v>
      </c>
      <c r="C14" s="16">
        <f>$B$14/$B$3</f>
        <v>0.383977690324611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40.11</v>
      </c>
      <c r="C15" s="16">
        <f>$B$15/$B$3</f>
        <v>0.00108628857902025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2839.61</v>
      </c>
      <c r="C16" s="16">
        <f>$B$16/$B$3</f>
        <v>0.0769044106674567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2057.57</v>
      </c>
      <c r="C17" s="16">
        <f>$B$17/$B$3</f>
        <v>0.0557246270639415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1195.29</v>
      </c>
      <c r="C18" s="16">
        <f>$B$18/$B$3</f>
        <v>0.0323717246476468</v>
      </c>
    </row>
    <row r="19" customHeight="1" spans="1:3">
      <c r="A19" s="20" t="s">
        <v>65</v>
      </c>
      <c r="B19" s="21">
        <f>SUM(B13:B18)</f>
        <v>36923.89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19179.14</v>
      </c>
      <c r="C24" s="16">
        <f>$B$24/$B$4</f>
        <v>0.559084599297935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0.247780614460943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0.126309812054031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2292.4</v>
      </c>
      <c r="C28" s="16">
        <f>$B$28/$B$4</f>
        <v>0.0668249741870901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34304.54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2692.66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2057.57</v>
      </c>
      <c r="B36" s="32" t="s">
        <v>63</v>
      </c>
      <c r="C36" s="33"/>
    </row>
    <row r="37" customHeight="1" spans="1:3">
      <c r="A37" s="34">
        <v>1195.29</v>
      </c>
      <c r="B37" s="32" t="s">
        <v>64</v>
      </c>
      <c r="C37" s="33"/>
    </row>
    <row r="38" customHeight="1" spans="1:3">
      <c r="A38" s="34">
        <v>16613.36</v>
      </c>
      <c r="B38" s="32" t="s">
        <v>60</v>
      </c>
      <c r="C38" s="33"/>
    </row>
    <row r="39" customHeight="1" spans="1:3">
      <c r="A39" s="34">
        <v>14177.95</v>
      </c>
      <c r="B39" s="32" t="s">
        <v>61</v>
      </c>
      <c r="C39" s="33"/>
    </row>
    <row r="40" customHeight="1" spans="1:3">
      <c r="A40" s="1">
        <v>40.11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68</v>
      </c>
    </row>
    <row r="46" customHeight="1" spans="1:3">
      <c r="A46" s="1">
        <v>2292.4</v>
      </c>
      <c r="B46" s="33" t="s">
        <v>37</v>
      </c>
      <c r="C46" s="33" t="s">
        <v>215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216</v>
      </c>
    </row>
    <row r="49" customHeight="1" spans="1:3">
      <c r="A49" s="1">
        <v>81.7</v>
      </c>
      <c r="B49" s="2" t="s">
        <v>25</v>
      </c>
      <c r="C49" s="2" t="s">
        <v>217</v>
      </c>
    </row>
    <row r="50" customHeight="1" spans="1:3">
      <c r="A50" s="1">
        <v>263.64</v>
      </c>
      <c r="B50" s="2" t="s">
        <v>25</v>
      </c>
      <c r="C50" s="2" t="s">
        <v>218</v>
      </c>
    </row>
    <row r="51" customHeight="1" spans="1:3">
      <c r="A51" s="1">
        <v>6192</v>
      </c>
      <c r="B51" s="2" t="s">
        <v>25</v>
      </c>
      <c r="C51" s="2" t="s">
        <v>219</v>
      </c>
    </row>
    <row r="52" customHeight="1" spans="1:3">
      <c r="A52" s="1">
        <v>12.9</v>
      </c>
      <c r="B52" s="2" t="s">
        <v>25</v>
      </c>
      <c r="C52" s="2" t="s">
        <v>220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221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  <row r="62" customHeight="1" spans="1:3">
      <c r="A62" s="1">
        <v>25.8</v>
      </c>
      <c r="B62" s="2" t="s">
        <v>25</v>
      </c>
      <c r="C62" s="2" t="s">
        <v>222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3"/>
  <sheetViews>
    <sheetView tabSelected="1" topLeftCell="A29" workbookViewId="0">
      <selection activeCell="E50" sqref="E50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24595.5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-9262.5</v>
      </c>
      <c r="C5" s="15" t="s">
        <v>49</v>
      </c>
    </row>
    <row r="6" customHeight="1" spans="1:3">
      <c r="A6" s="13" t="s">
        <v>52</v>
      </c>
      <c r="B6" s="14">
        <f>$B$3-$B$4</f>
        <v>-24595.5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9262.5</v>
      </c>
      <c r="C24" s="16">
        <f>$B$24/$B$4</f>
        <v>0.376593279258401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0.345591673273566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0.17617043768169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2500</v>
      </c>
      <c r="C28" s="16">
        <f>$B$28/$B$4</f>
        <v>0.101644609786343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24595.5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272.2</v>
      </c>
      <c r="B47" s="2" t="s">
        <v>25</v>
      </c>
      <c r="C47" s="2" t="s">
        <v>170</v>
      </c>
    </row>
    <row r="48" customHeight="1" spans="1:3">
      <c r="A48" s="1">
        <v>6182</v>
      </c>
      <c r="B48" s="2" t="s">
        <v>25</v>
      </c>
      <c r="C48" s="2" t="s">
        <v>179</v>
      </c>
    </row>
    <row r="49" customHeight="1" spans="1:3">
      <c r="A49" s="1">
        <v>620</v>
      </c>
      <c r="B49" s="2" t="s">
        <v>25</v>
      </c>
      <c r="C49" s="2" t="s">
        <v>168</v>
      </c>
    </row>
    <row r="50" customHeight="1" spans="1:3">
      <c r="A50" s="1">
        <v>610.8</v>
      </c>
      <c r="B50" s="2" t="s">
        <v>25</v>
      </c>
      <c r="C50" s="2" t="s">
        <v>214</v>
      </c>
    </row>
    <row r="51" customHeight="1" spans="1:3">
      <c r="A51" s="1">
        <v>31.5</v>
      </c>
      <c r="B51" s="2" t="s">
        <v>25</v>
      </c>
      <c r="C51" s="2" t="s">
        <v>223</v>
      </c>
    </row>
    <row r="52" customHeight="1" spans="1:3">
      <c r="A52" s="1">
        <v>1000</v>
      </c>
      <c r="B52" s="2" t="s">
        <v>25</v>
      </c>
      <c r="C52" s="2" t="s">
        <v>216</v>
      </c>
    </row>
    <row r="53" customHeight="1" spans="1:3">
      <c r="A53" s="1">
        <v>546</v>
      </c>
      <c r="B53" s="2" t="s">
        <v>25</v>
      </c>
      <c r="C53" s="2" t="s">
        <v>168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B53" sqref="B53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SUM(收入明细260410_122013151721[收入明细])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SUM(支出明细26049_111914161822[支出明细])</f>
        <v>15333</v>
      </c>
      <c r="C4" s="12" t="s">
        <v>49</v>
      </c>
    </row>
    <row r="5" customHeight="1" spans="1:3">
      <c r="A5" s="13" t="s">
        <v>51</v>
      </c>
      <c r="B5" s="14">
        <f>$B$3-SUMIF(支出明细26049_111914161822[分类],"食材",支出明细26049_111914161822[支出明细])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-15333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SUMIF(收入明细260410_122013151721[分类],"淘宝外卖",收入明细260410_122013151721[收入明细])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SUMIF(收入明细260410_122013151721[分类],"美团外卖",收入明细260410_122013151721[收入明细])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SUMIF(收入明细260410_122013151721[分类],"抖音来客",收入明细260410_122013151721[收入明细])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SUMIF(收入明细260410_122013151721[分类],"微信堂食",收入明细260410_122013151721[收入明细])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SUMIF(收入明细260410_122013151721[分类],"支付宝堂食",收入明细260410_122013151721[收入明细])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SUMIF(收入明细260410_122013151721[分类],"京东外卖",收入明细260410_122013151721[收入明细])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SUMIF(支出明细26049_111914161822[分类],"食材",支出明细26049_111914161822[支出明细])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SUMIF(支出明细26049_111914161822[分类],"工资",支出明细26049_111914161822[支出明细])</f>
        <v>8500</v>
      </c>
      <c r="C25" s="16">
        <f>$B$25/$B$4</f>
        <v>0.554359877388639</v>
      </c>
    </row>
    <row r="26" customHeight="1" spans="1:3">
      <c r="A26" s="13" t="s">
        <v>6</v>
      </c>
      <c r="B26" s="14">
        <f>SUMIF(支出明细26049_111914161822[分类],"房租",支出明细26049_111914161822[支出明细])</f>
        <v>4333</v>
      </c>
      <c r="C26" s="16">
        <f>$B$26/$B$4</f>
        <v>0.282593099849997</v>
      </c>
    </row>
    <row r="27" customHeight="1" spans="1:3">
      <c r="A27" s="13" t="s">
        <v>32</v>
      </c>
      <c r="B27" s="14">
        <f>SUMIF(支出明细26049_111914161822[分类],"推广",支出明细26049_111914161822[支出明细])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SUMIF(支出明细26049_111914161822[分类],"水电",支出明细26049_111914161822[支出明细])</f>
        <v>2500</v>
      </c>
      <c r="C28" s="16">
        <f>$B$28/$B$4</f>
        <v>0.163047022761364</v>
      </c>
    </row>
    <row r="29" customHeight="1" spans="1:3">
      <c r="A29" s="13" t="s">
        <v>14</v>
      </c>
      <c r="B29" s="14">
        <f>SUMIF(支出明细26049_111914161822[分类],"其他",支出明细26049_111914161822[支出明细])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15333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  <vt:lpstr>2026-11流水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2026-03-10T11:28:00Z</dcterms:created>
  <dcterms:modified xsi:type="dcterms:W3CDTF">2026-10-13T13:32:46Z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