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<sst xmlns="http://schemas.openxmlformats.org/spreadsheetml/2006/main" count="690" uniqueCount="182">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</sst>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A76" sqref="A7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39819.09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1226.49000000001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0.0298811711273176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0.469119711173711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0.301362989460583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0.108817152777725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0.0139925347364794</v>
      </c>
    </row>
    <row r="28" customHeight="1" spans="1:3">
      <c r="A28" s="10" t="s">
        <v>37</v>
      </c>
      <c r="B28" s="11">
        <f>SUMIF(支出明细26049[分类],"水电",支出明细26049[支出明细])</f>
        <v>3500</v>
      </c>
      <c r="C28" s="12">
        <f>$B$28/$B$4</f>
        <v>0.08789753859267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0.0188100732588314</v>
      </c>
    </row>
    <row r="30" customHeight="1" spans="1:3">
      <c r="A30" s="23" t="s">
        <v>65</v>
      </c>
      <c r="B30" s="24">
        <f>SUM(B24:B29)</f>
        <v>39819.09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4"/>
  <sheetViews>
    <sheetView tabSelected="1" topLeftCell="A3" workbookViewId="0">
      <selection activeCell="D50" sqref="D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30770.59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-9707.59</v>
      </c>
      <c r="C5" s="10" t="s">
        <v>49</v>
      </c>
    </row>
    <row r="6" customHeight="1" spans="1:3">
      <c r="A6" s="10" t="s">
        <v>52</v>
      </c>
      <c r="B6" s="11">
        <f>$B$3-$B$4</f>
        <v>-30770.59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9707.59</v>
      </c>
      <c r="C24" s="12">
        <f>$B$24/$B$4</f>
        <v>0.315482738550025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0.389982772511024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0.140816279440856</v>
      </c>
    </row>
    <row r="27" customHeight="1" spans="1:3">
      <c r="A27" s="10" t="s">
        <v>32</v>
      </c>
      <c r="B27" s="11">
        <f>SUMIF(支出明细26049_11[分类],"推广",支出明细26049_11[支出明细])</f>
        <v>1230</v>
      </c>
      <c r="C27" s="12">
        <f>$B$27/$B$4</f>
        <v>0.03997323418238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0.113744975315715</v>
      </c>
    </row>
    <row r="29" customHeight="1" spans="1:3">
      <c r="A29" s="10" t="s">
        <v>14</v>
      </c>
      <c r="B29" s="11">
        <f>SUMIF(支出明细26049_11[分类],"其他",支出明细26049_11[支出明细])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30770.59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423</v>
      </c>
      <c r="B47" s="2" t="s">
        <v>25</v>
      </c>
      <c r="C47" s="2" t="s">
        <v>177</v>
      </c>
    </row>
    <row r="48" customHeight="1" spans="1:3">
      <c r="A48" s="26">
        <v>130</v>
      </c>
      <c r="B48" s="2" t="s">
        <v>25</v>
      </c>
      <c r="C48" s="2" t="s">
        <v>177</v>
      </c>
    </row>
    <row r="49" customHeight="1" spans="1:3">
      <c r="A49" s="26">
        <v>465</v>
      </c>
      <c r="B49" s="2" t="s">
        <v>25</v>
      </c>
      <c r="C49" s="2" t="s">
        <v>178</v>
      </c>
    </row>
    <row r="50" customHeight="1" spans="1:3">
      <c r="A50" s="26">
        <v>6586</v>
      </c>
      <c r="B50" s="2" t="s">
        <v>25</v>
      </c>
      <c r="C50" s="2" t="s">
        <v>179</v>
      </c>
    </row>
    <row r="51" customHeight="1" spans="1:3">
      <c r="A51" s="26">
        <v>103.59</v>
      </c>
      <c r="B51" s="2" t="s">
        <v>25</v>
      </c>
      <c r="C51" s="2" t="s">
        <v>180</v>
      </c>
    </row>
    <row r="52" customHeight="1" spans="1:3">
      <c r="A52" s="26">
        <v>1230</v>
      </c>
      <c r="B52" s="2" t="s">
        <v>32</v>
      </c>
      <c r="C52" s="2" t="s">
        <v>181</v>
      </c>
    </row>
    <row r="53" customHeight="1" spans="1:3">
      <c r="A53" s="26">
        <v>2000</v>
      </c>
      <c r="B53" s="2" t="s">
        <v>25</v>
      </c>
      <c r="C53" s="2" t="s">
        <v>26</v>
      </c>
    </row>
    <row r="54" customHeight="1" spans="1:1">
      <c r="A54" s="26"/>
    </row>
    <row r="55" customHeight="1" spans="1:1">
      <c r="A55" s="26"/>
    </row>
    <row r="56" customHeight="1" spans="1:1">
      <c r="A56" s="26"/>
    </row>
    <row r="57" customHeight="1" spans="1:1">
      <c r="A57" s="26"/>
    </row>
    <row r="58" customHeight="1" spans="1:1">
      <c r="A58" s="26"/>
    </row>
    <row r="59" customHeight="1" spans="1:1">
      <c r="A59" s="26"/>
    </row>
    <row r="60" customHeight="1" spans="1:1">
      <c r="A60" s="26"/>
    </row>
    <row r="61" customHeight="1" spans="1:1">
      <c r="A61" s="26"/>
    </row>
    <row r="62" customHeight="1" spans="1:1">
      <c r="A62" s="26"/>
    </row>
    <row r="63" customHeight="1" spans="1:1">
      <c r="A63" s="26"/>
    </row>
    <row r="64" customHeight="1" spans="1:1">
      <c r="A64" s="26"/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9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2026-06-01T10:16:29Z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