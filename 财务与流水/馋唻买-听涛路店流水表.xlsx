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6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<sst xmlns="http://schemas.openxmlformats.org/spreadsheetml/2006/main" count="228" uniqueCount="93">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</sst>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0.00_ ;[Red]\-0.00\ "/>
    <numFmt numFmtId="42" formatCode="_ &quot;￥&quot;* #,##0_ ;_ &quot;￥&quot;* \-#,##0_ ;_ &quot;￥&quot;* &quot;-&quot;_ ;_ @_ "/>
    <numFmt numFmtId="177" formatCode="0.00_);[Red]\(0.00\)"/>
    <numFmt numFmtId="44" formatCode="_ &quot;￥&quot;* #,##0.00_ ;_ &quot;￥&quot;* \-#,##0.00_ ;_ &quot;￥&quot;* &quot;-&quot;??_ ;_ @_ "/>
    <numFmt numFmtId="41" formatCode="_ * #,##0_ ;_ * \-#,##0_ ;_ * &quot;-&quot;_ ;_ @_ "/>
    <numFmt numFmtId="178" formatCode="#,##0.00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3F3F76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9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0" fillId="30" borderId="5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0:C55" totalsRowShown="0">
  <autoFilter ref="A50:C5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46" totalsRowShown="0">
  <autoFilter ref="A6:C46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6" customWidth="1"/>
  </cols>
  <sheetData>
    <row r="1" ht="15" customHeight="1" spans="1:3">
      <c r="A1" s="2" t="s">
        <v>0</v>
      </c>
      <c r="C1" s="13">
        <v>100000</v>
      </c>
    </row>
    <row r="2" ht="15" customHeight="1" spans="1:3">
      <c r="A2" s="2" t="s">
        <v>1</v>
      </c>
      <c r="C2" s="14">
        <f>SUM(成本明细[金额(元)])</f>
        <v>99761.38</v>
      </c>
    </row>
    <row r="3" ht="15" customHeight="1" spans="1:3">
      <c r="A3" s="2" t="s">
        <v>2</v>
      </c>
      <c r="C3" s="14">
        <f>C1-C2</f>
        <v>238.619999999981</v>
      </c>
    </row>
    <row r="4" ht="15" customHeight="1"/>
    <row r="5" ht="15" customHeight="1" spans="1:3">
      <c r="A5" s="2" t="s">
        <v>3</v>
      </c>
      <c r="B5" s="10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6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6" t="s">
        <v>30</v>
      </c>
    </row>
    <row r="26" ht="15" customHeight="1" spans="1:3">
      <c r="A26" s="5">
        <v>640</v>
      </c>
      <c r="B26" t="s">
        <v>9</v>
      </c>
      <c r="C26" s="16" t="s">
        <v>31</v>
      </c>
    </row>
    <row r="27" ht="15" customHeight="1" spans="1:3">
      <c r="A27" s="5">
        <v>500</v>
      </c>
      <c r="B27" t="s">
        <v>32</v>
      </c>
      <c r="C27" s="16" t="s">
        <v>33</v>
      </c>
    </row>
    <row r="28" ht="15" customHeight="1" spans="1:3">
      <c r="A28" s="5">
        <v>600</v>
      </c>
      <c r="B28" t="s">
        <v>32</v>
      </c>
      <c r="C28" s="16" t="s">
        <v>34</v>
      </c>
    </row>
    <row r="29" ht="15" customHeight="1" spans="1:3">
      <c r="A29" s="5">
        <v>938</v>
      </c>
      <c r="B29" t="s">
        <v>25</v>
      </c>
      <c r="C29" s="16" t="s">
        <v>35</v>
      </c>
    </row>
    <row r="30" ht="15" customHeight="1" spans="1:3">
      <c r="A30" s="5">
        <v>1000</v>
      </c>
      <c r="B30" t="s">
        <v>25</v>
      </c>
      <c r="C30" s="16" t="s">
        <v>26</v>
      </c>
    </row>
    <row r="31" ht="15" customHeight="1" spans="1:3">
      <c r="A31" s="5">
        <v>60.5</v>
      </c>
      <c r="B31" t="s">
        <v>25</v>
      </c>
      <c r="C31" s="16" t="s">
        <v>36</v>
      </c>
    </row>
    <row r="32" ht="15" customHeight="1" spans="1:3">
      <c r="A32" s="5">
        <v>162.41</v>
      </c>
      <c r="B32" t="s">
        <v>37</v>
      </c>
      <c r="C32" s="16" t="s">
        <v>38</v>
      </c>
    </row>
    <row r="33" ht="15" customHeight="1" spans="1:3">
      <c r="A33" s="5">
        <v>42.16</v>
      </c>
      <c r="B33" t="s">
        <v>25</v>
      </c>
      <c r="C33" s="16" t="s">
        <v>35</v>
      </c>
    </row>
    <row r="34" ht="15" customHeight="1" spans="1:3">
      <c r="A34" s="5">
        <v>1000</v>
      </c>
      <c r="B34" t="s">
        <v>25</v>
      </c>
      <c r="C34" s="16" t="s">
        <v>26</v>
      </c>
    </row>
    <row r="35" ht="15" customHeight="1" spans="1:3">
      <c r="A35" s="15">
        <v>500</v>
      </c>
      <c r="B35" s="17" t="s">
        <v>9</v>
      </c>
      <c r="C35" s="18" t="s">
        <v>39</v>
      </c>
    </row>
    <row r="36" ht="15" customHeight="1" spans="1:3">
      <c r="A36" s="15">
        <v>1300</v>
      </c>
      <c r="B36" s="17" t="s">
        <v>25</v>
      </c>
      <c r="C36" s="18" t="s">
        <v>40</v>
      </c>
    </row>
    <row r="37" ht="15" customHeight="1" spans="1:3">
      <c r="A37" s="15">
        <v>253.84</v>
      </c>
      <c r="B37" s="17" t="s">
        <v>25</v>
      </c>
      <c r="C37" s="18" t="s">
        <v>36</v>
      </c>
    </row>
    <row r="38" ht="15" customHeight="1" spans="1:3">
      <c r="A38" s="15">
        <v>1000</v>
      </c>
      <c r="B38" s="17" t="s">
        <v>25</v>
      </c>
      <c r="C38" s="18" t="s">
        <v>26</v>
      </c>
    </row>
    <row r="39" ht="15" customHeight="1" spans="1:3">
      <c r="A39" s="15">
        <v>355.3</v>
      </c>
      <c r="B39" s="17" t="s">
        <v>25</v>
      </c>
      <c r="C39" s="18" t="s">
        <v>36</v>
      </c>
    </row>
    <row r="40" ht="15" customHeight="1" spans="1:3">
      <c r="A40" s="15">
        <v>3000</v>
      </c>
      <c r="B40" s="17" t="s">
        <v>25</v>
      </c>
      <c r="C40" s="18" t="s">
        <v>41</v>
      </c>
    </row>
    <row r="41" ht="15" customHeight="1" spans="1:3">
      <c r="A41" s="15">
        <v>174</v>
      </c>
      <c r="B41" s="17" t="s">
        <v>25</v>
      </c>
      <c r="C41" s="18" t="s">
        <v>36</v>
      </c>
    </row>
    <row r="42" ht="15" customHeight="1" spans="1:3">
      <c r="A42" s="15">
        <v>33.6</v>
      </c>
      <c r="B42" s="17" t="s">
        <v>14</v>
      </c>
      <c r="C42" s="18" t="s">
        <v>42</v>
      </c>
    </row>
    <row r="43" ht="15" customHeight="1" spans="1:3">
      <c r="A43" s="15">
        <v>500</v>
      </c>
      <c r="B43" s="17" t="s">
        <v>25</v>
      </c>
      <c r="C43" s="18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5">
        <v>1300</v>
      </c>
      <c r="B18" s="8" t="s">
        <v>25</v>
      </c>
      <c r="C18" s="8" t="s">
        <v>50</v>
      </c>
    </row>
    <row r="19" customHeight="1" spans="1:3">
      <c r="A19" s="15">
        <v>253.84</v>
      </c>
      <c r="B19" s="8" t="s">
        <v>25</v>
      </c>
      <c r="C19" s="8" t="s">
        <v>36</v>
      </c>
    </row>
    <row r="20" customHeight="1" spans="1:3">
      <c r="A20" s="15">
        <v>1000</v>
      </c>
      <c r="B20" s="8" t="s">
        <v>25</v>
      </c>
      <c r="C20" s="6" t="s">
        <v>26</v>
      </c>
    </row>
    <row r="21" customHeight="1" spans="1:3">
      <c r="A21" s="15">
        <v>355.3</v>
      </c>
      <c r="B21" s="8" t="s">
        <v>25</v>
      </c>
      <c r="C21" s="8" t="s">
        <v>36</v>
      </c>
    </row>
    <row r="22" customHeight="1" spans="1:3">
      <c r="A22" s="15">
        <v>3000</v>
      </c>
      <c r="B22" s="8" t="s">
        <v>25</v>
      </c>
      <c r="C22" s="8" t="s">
        <v>41</v>
      </c>
    </row>
    <row r="23" customHeight="1" spans="1:3">
      <c r="A23" s="15">
        <v>174</v>
      </c>
      <c r="B23" s="8" t="s">
        <v>25</v>
      </c>
      <c r="C23" s="8" t="s">
        <v>36</v>
      </c>
    </row>
    <row r="24" customHeight="1" spans="1:3">
      <c r="A24" s="15">
        <v>33.6</v>
      </c>
      <c r="B24" s="8" t="s">
        <v>14</v>
      </c>
      <c r="C24" s="8" t="s">
        <v>42</v>
      </c>
    </row>
    <row r="25" customHeight="1" spans="1:3">
      <c r="A25" s="15">
        <v>500</v>
      </c>
      <c r="B25" s="8" t="s">
        <v>25</v>
      </c>
      <c r="C25" s="8" t="s">
        <v>26</v>
      </c>
    </row>
    <row r="26" customHeight="1" spans="1:3">
      <c r="A26" s="2"/>
      <c r="B26" s="10"/>
      <c r="C26" s="6"/>
    </row>
    <row r="27" customHeight="1" spans="1:3">
      <c r="A27" s="2"/>
      <c r="B27" s="10"/>
      <c r="C27" s="6"/>
    </row>
    <row r="28" customHeight="1" spans="1:3">
      <c r="A28" s="2"/>
      <c r="B28" s="10"/>
      <c r="C28" s="6"/>
    </row>
    <row r="29" customHeight="1" spans="1:3">
      <c r="A29" s="2" t="s">
        <v>51</v>
      </c>
      <c r="B29" s="10" t="s">
        <v>4</v>
      </c>
      <c r="C29" s="6" t="s">
        <v>5</v>
      </c>
    </row>
    <row r="30" customHeight="1" spans="1:3">
      <c r="A30" s="11">
        <v>6683.96</v>
      </c>
      <c r="B30" s="10" t="s">
        <v>52</v>
      </c>
      <c r="C30" s="6"/>
    </row>
    <row r="31" customHeight="1" spans="1:3">
      <c r="A31" s="11">
        <v>1861.8</v>
      </c>
      <c r="B31" s="10" t="s">
        <v>53</v>
      </c>
      <c r="C31" s="6"/>
    </row>
    <row r="32" customHeight="1" spans="1:3">
      <c r="A32" s="11">
        <v>0</v>
      </c>
      <c r="B32" s="10" t="s">
        <v>54</v>
      </c>
      <c r="C32" s="6"/>
    </row>
    <row r="33" customHeight="1" spans="1:3">
      <c r="A33" s="11">
        <v>19919.1</v>
      </c>
      <c r="B33" s="10" t="s">
        <v>55</v>
      </c>
      <c r="C33" s="6"/>
    </row>
    <row r="34" customHeight="1" spans="1:3">
      <c r="A34" s="11">
        <v>13970.88</v>
      </c>
      <c r="B34" s="10" t="s">
        <v>56</v>
      </c>
      <c r="C34" s="6"/>
    </row>
    <row r="37" customHeight="1" spans="1:3">
      <c r="A37" s="2"/>
      <c r="B37" s="3"/>
      <c r="C37" s="13"/>
    </row>
    <row r="38" customHeight="1" spans="1:3">
      <c r="A38" s="2"/>
      <c r="B38" s="3"/>
      <c r="C38" s="14"/>
    </row>
    <row r="39" customHeight="1" spans="1:3">
      <c r="A39" s="2"/>
      <c r="C39" s="14"/>
    </row>
    <row r="43" customHeight="1" spans="1:3">
      <c r="A43" s="2"/>
      <c r="B43" s="10"/>
      <c r="C43" s="6"/>
    </row>
    <row r="44" customHeight="1" spans="1:3">
      <c r="A44" s="11"/>
      <c r="B44" s="10"/>
      <c r="C44" s="6"/>
    </row>
    <row r="45" customHeight="1" spans="1:3">
      <c r="A45" s="11"/>
      <c r="B45" s="10"/>
      <c r="C45" s="6"/>
    </row>
    <row r="46" customHeight="1" spans="1:3">
      <c r="A46" s="11"/>
      <c r="B46" s="10"/>
      <c r="C46" s="6"/>
    </row>
    <row r="47" customHeight="1" spans="1:3">
      <c r="A47" s="11"/>
      <c r="B47" s="10"/>
      <c r="C47" s="6"/>
    </row>
    <row r="48" customHeight="1" spans="1:3">
      <c r="A48" s="11"/>
      <c r="B48" s="10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9"/>
  <sheetViews>
    <sheetView tabSelected="1" topLeftCell="A21" workbookViewId="0">
      <selection activeCell="F39" sqref="F39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50304.57</v>
      </c>
    </row>
    <row r="2" customHeight="1" spans="1:2">
      <c r="A2" s="2" t="s">
        <v>44</v>
      </c>
      <c r="B2" s="3">
        <f>SUM(营业额明细表[营业额明细])</f>
        <v>32405.16</v>
      </c>
    </row>
    <row r="3" customHeight="1" spans="1:2">
      <c r="A3" s="2" t="s">
        <v>45</v>
      </c>
      <c r="B3" s="4">
        <f>B2-B1</f>
        <v>-17899.41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9"/>
      <c r="B47" s="8"/>
      <c r="C47" s="8"/>
    </row>
    <row r="48" customHeight="1" spans="1:3">
      <c r="A48" s="9"/>
      <c r="B48" s="8"/>
      <c r="C48" s="8"/>
    </row>
    <row r="49" customHeight="1" spans="1:3">
      <c r="A49" s="2"/>
      <c r="B49" s="10"/>
      <c r="C49" s="6"/>
    </row>
    <row r="50" customHeight="1" spans="1:3">
      <c r="A50" s="2" t="s">
        <v>51</v>
      </c>
      <c r="B50" s="10" t="s">
        <v>4</v>
      </c>
      <c r="C50" s="6" t="s">
        <v>5</v>
      </c>
    </row>
    <row r="51" customHeight="1" spans="1:3">
      <c r="A51" s="11">
        <v>3393.36</v>
      </c>
      <c r="B51" s="10" t="s">
        <v>52</v>
      </c>
      <c r="C51" s="6"/>
    </row>
    <row r="52" customHeight="1" spans="1:3">
      <c r="A52" s="11">
        <v>910.97</v>
      </c>
      <c r="B52" s="10" t="s">
        <v>53</v>
      </c>
      <c r="C52" s="6"/>
    </row>
    <row r="53" customHeight="1" spans="1:3">
      <c r="A53" s="11">
        <v>3114.59</v>
      </c>
      <c r="B53" s="10" t="s">
        <v>54</v>
      </c>
      <c r="C53" s="6"/>
    </row>
    <row r="54" customHeight="1" spans="1:3">
      <c r="A54" s="11">
        <v>13860.32</v>
      </c>
      <c r="B54" s="10" t="s">
        <v>55</v>
      </c>
      <c r="C54" s="6"/>
    </row>
    <row r="55" customHeight="1" spans="1:3">
      <c r="A55" s="12">
        <v>11125.92</v>
      </c>
      <c r="B55" s="10" t="s">
        <v>56</v>
      </c>
      <c r="C55" s="8"/>
    </row>
    <row r="57" customHeight="1" spans="1:3">
      <c r="A57" s="2"/>
      <c r="B57" s="3"/>
      <c r="C57" s="13"/>
    </row>
    <row r="58" customHeight="1" spans="1:3">
      <c r="A58" s="2"/>
      <c r="B58" s="3"/>
      <c r="C58" s="14"/>
    </row>
    <row r="59" customHeight="1" spans="1:3">
      <c r="A59" s="2"/>
      <c r="C59" s="14"/>
    </row>
  </sheetData>
  <dataValidations count="1">
    <dataValidation type="list" allowBlank="1" showInputMessage="1" showErrorMessage="1" sqref="B37 B38 B39 B40 B41 B42 B43 B44 B45 B46 B47 B48 B7:B3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2026-02-09T03:28:00Z</dcterms:created>
  <dcterms:modified xsi:type="dcterms:W3CDTF">2026-03-13T15:42:59Z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