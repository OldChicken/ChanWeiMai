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900" activeTab="3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</sheets>
  <calcPr calcId="144525"/>
</workbook>
</file>

<file path=xl/sharedStrings.xml><?xml version="1.0" encoding="utf-8"?>
<sst xmlns="http://schemas.openxmlformats.org/spreadsheetml/2006/main" count="532" uniqueCount="171">
  <si>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</si>
  <si>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</si>
  <si>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</si>
  <si>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</si>
  <si>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</si>
  <si>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</si>
  <si>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</si>
  <si>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</si>
  <si>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</si>
  <si>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</si>
  <si>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</si>
  <si>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</si>
  <si>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</si>
  <si>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</si>
  <si>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</si>
  <si>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</si>
  <si>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</si>
  <si>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</si>
  <si>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</si>
  <si>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</si>
  <si>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</si>
  <si>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</si>
  <si>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</si>
  <si>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</si>
  <si>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</si>
  <si>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</si>
  <si>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</si>
  <si>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</si>
  <si>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</si>
  <si>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</si>
  <si>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</si>
  <si>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</si>
  <si>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</si>
  <si>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</si>
  <si>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</si>
  <si>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</si>
  <si>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</si>
  <si>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</si>
  <si>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</si>
  <si>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</si>
  <si>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</si>
  <si>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</si>
  <si>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</si>
  <si>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</si>
  <si>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</si>
  <si>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</si>
  <si>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</si>
  <si>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</si>
  <si>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</si>
  <si>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</si>
  <si>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</si>
  <si>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</si>
  <si>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</si>
  <si>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</si>
  <si>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</si>
  <si>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</si>
  <si>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</si>
  <si>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</si>
  <si>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</si>
  <si>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</si>
  <si>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</si>
  <si>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</si>
  <si>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</si>
  <si>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</si>
  <si>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</si>
  <si>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</si>
  <si>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</si>
  <si>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</si>
  <si>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</si>
  <si>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</si>
  <si>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</si>
  <si>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</si>
  <si>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</si>
  <si>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</si>
  <si>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</si>
  <si>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</si>
  <si>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</si>
  <si>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</si>
  <si>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</si>
  <si>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</si>
  <si>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</si>
  <si>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</si>
  <si>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</si>
  <si>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</si>
  <si>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</si>
  <si>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</si>
  <si>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</si>
  <si>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</si>
  <si>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</si>
  <si>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</si>
  <si>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</si>
  <si>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</si>
  <si>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</si>
  <si>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</si>
  <si>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</si>
  <si>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</si>
  <si>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</si>
  <si>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</si>
  <si>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</si>
  <si>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</si>
  <si>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</si>
  <si>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</si>
  <si>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</si>
  <si>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</si>
  <si>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</si>
  <si>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</si>
  <si>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</si>
  <si>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</si>
  <si>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</si>
  <si>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</si>
  <si>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</si>
  <si>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</si>
  <si>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</si>
  <si>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</si>
  <si>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</si>
  <si>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</si>
  <si>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</si>
  <si>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</si>
  <si>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</si>
  <si>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</si>
  <si>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</si>
  <si>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</si>
  <si>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</si>
  <si>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</si>
  <si>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</si>
  <si>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</si>
  <si>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</si>
  <si>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</si>
  <si>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</si>
  <si>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</si>
  <si>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</si>
  <si>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</si>
  <si>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</si>
  <si>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</si>
  <si>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</si>
  <si>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</si>
  <si>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</si>
  <si>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</si>
  <si>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</si>
  <si>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</si>
  <si>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</si>
  <si>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</si>
  <si>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</si>
  <si>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</si>
  <si>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</si>
  <si>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</si>
  <si>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</si>
  <si>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</si>
  <si>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</si>
  <si>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</si>
  <si>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</si>
  <si>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</si>
  <si>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</si>
  <si>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</si>
  <si>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</si>
  <si>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</si>
  <si>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</si>
  <si>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</si>
  <si>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</si>
  <si>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</si>
  <si>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微信堂食-商业码</t>
  </si>
  <si>
    <t>微信堂食-经营码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</si>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</sst>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#,##0.00_ "/>
    <numFmt numFmtId="44" formatCode="_ &quot;￥&quot;* #,##0.00_ ;_ &quot;￥&quot;* \-#,##0.00_ ;_ &quot;￥&quot;* &quot;-&quot;??_ ;_ @_ "/>
    <numFmt numFmtId="178" formatCode="0.00_ ;[Red]\-0.00\ 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FF000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8" fillId="29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7" fillId="12" borderId="7" applyNumberFormat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19" fillId="26" borderId="7" applyNumberForma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1" fillId="34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6" fillId="22" borderId="11" applyNumberFormat="0" applyAlignment="0" applyProtection="0">
      <alignment vertical="center"/>
    </xf>
    <xf numFmtId="0" fontId="23" fillId="26" borderId="13" applyNumberFormat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3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0" fillId="18" borderId="10" applyNumberFormat="0" applyFont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</cellStyleXfs>
  <cellXfs count="70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1:C55">
  <autoFilter ref="A41:C55">
    <filterColumn colId="1">
      <customFilters>
        <customFilter operator="equal" val="食材"/>
      </customFilters>
    </filterColumn>
  </autoFilter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65" customWidth="1"/>
    <col min="2" max="2" width="30.6634615384615" style="66" customWidth="1"/>
    <col min="3" max="3" width="30.6634615384615" style="67" customWidth="1"/>
    <col min="4" max="4" width="30.6634615384615" style="66" customWidth="1"/>
    <col min="5" max="16384" width="30.6634615384615" style="66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35" customWidth="1"/>
    <col min="3" max="3" width="30.6634615384615" style="36" customWidth="1"/>
    <col min="4" max="4" width="30.6634615384615" style="35" customWidth="1"/>
    <col min="5" max="16384" width="30.6634615384615" style="35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68152.7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5676.34999999999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0.0768850472815239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0.637902973763328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0.220093994808716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0.0635778186337445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0.0124719930391606</v>
      </c>
    </row>
    <row r="27" customHeight="1" spans="1:3">
      <c r="A27" s="10" t="s">
        <v>37</v>
      </c>
      <c r="B27" s="11">
        <f>SUMIF(支出明细2603[分类],"水电",支出明细2603[支出明细])</f>
        <v>3747.9</v>
      </c>
      <c r="C27" s="12">
        <f>$B$27/$B$4</f>
        <v>0.0549926855429059</v>
      </c>
    </row>
    <row r="28" customHeight="1" spans="1:3">
      <c r="A28" s="10" t="s">
        <v>14</v>
      </c>
      <c r="B28" s="11">
        <f>SUMIF(支出明细2603[分类],"其他",支出明细2603[支出明细])</f>
        <v>746.99</v>
      </c>
      <c r="C28" s="12">
        <f>$B$28/$B$4</f>
        <v>0.0109605342121442</v>
      </c>
    </row>
    <row r="29" customHeight="1" spans="1:3">
      <c r="A29" s="23" t="s">
        <v>65</v>
      </c>
      <c r="B29" s="24">
        <f>SUM(B23:B28)</f>
        <v>68152.7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3747.9</v>
      </c>
      <c r="B44" s="28" t="s">
        <v>37</v>
      </c>
      <c r="C44" s="28" t="s">
        <v>80</v>
      </c>
    </row>
    <row r="45" customHeight="1" spans="1:3">
      <c r="A45" s="26">
        <v>4140</v>
      </c>
      <c r="B45" s="28" t="s">
        <v>25</v>
      </c>
      <c r="C45" s="28" t="s">
        <v>81</v>
      </c>
    </row>
    <row r="46" customHeight="1" spans="1:3">
      <c r="A46" s="26">
        <v>7866</v>
      </c>
      <c r="B46" s="28" t="s">
        <v>25</v>
      </c>
      <c r="C46" s="28" t="s">
        <v>82</v>
      </c>
    </row>
    <row r="47" customHeight="1" spans="1:3">
      <c r="A47" s="26">
        <v>28.64</v>
      </c>
      <c r="B47" s="28" t="s">
        <v>14</v>
      </c>
      <c r="C47" s="28" t="s">
        <v>83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84</v>
      </c>
    </row>
    <row r="51" customHeight="1" spans="1:3">
      <c r="A51" s="26">
        <v>468</v>
      </c>
      <c r="B51" s="28" t="s">
        <v>25</v>
      </c>
      <c r="C51" s="28" t="s">
        <v>85</v>
      </c>
    </row>
    <row r="52" customHeight="1" spans="1:3">
      <c r="A52" s="26">
        <v>385</v>
      </c>
      <c r="B52" s="28" t="s">
        <v>25</v>
      </c>
      <c r="C52" s="28" t="s">
        <v>86</v>
      </c>
    </row>
    <row r="53" customHeight="1" spans="1:3">
      <c r="A53" s="26">
        <v>295</v>
      </c>
      <c r="B53" s="28" t="s">
        <v>25</v>
      </c>
      <c r="C53" s="28" t="s">
        <v>87</v>
      </c>
    </row>
    <row r="54" customHeight="1" spans="1:3">
      <c r="A54" s="26">
        <v>718</v>
      </c>
      <c r="B54" s="28" t="s">
        <v>25</v>
      </c>
      <c r="C54" s="28" t="s">
        <v>88</v>
      </c>
    </row>
    <row r="55" customHeight="1" spans="1:3">
      <c r="A55" s="26">
        <v>57.6</v>
      </c>
      <c r="B55" s="28" t="s">
        <v>25</v>
      </c>
      <c r="C55" s="28" t="s">
        <v>89</v>
      </c>
    </row>
    <row r="56" customHeight="1" spans="1:3">
      <c r="A56" s="26">
        <v>302.5</v>
      </c>
      <c r="B56" s="28" t="s">
        <v>25</v>
      </c>
      <c r="C56" s="28" t="s">
        <v>90</v>
      </c>
    </row>
    <row r="57" customHeight="1" spans="1:3">
      <c r="A57" s="26">
        <v>400</v>
      </c>
      <c r="B57" s="28" t="s">
        <v>32</v>
      </c>
      <c r="C57" s="28" t="s">
        <v>91</v>
      </c>
    </row>
    <row r="58" customHeight="1" spans="1:3">
      <c r="A58" s="26">
        <v>225</v>
      </c>
      <c r="B58" s="28" t="s">
        <v>25</v>
      </c>
      <c r="C58" s="28" t="s">
        <v>92</v>
      </c>
    </row>
    <row r="59" customHeight="1" spans="1:3">
      <c r="A59" s="26">
        <v>350</v>
      </c>
      <c r="B59" s="28" t="s">
        <v>25</v>
      </c>
      <c r="C59" s="28" t="s">
        <v>93</v>
      </c>
    </row>
    <row r="60" customHeight="1" spans="1:3">
      <c r="A60" s="26">
        <v>112</v>
      </c>
      <c r="B60" s="28" t="s">
        <v>25</v>
      </c>
      <c r="C60" s="28" t="s">
        <v>94</v>
      </c>
    </row>
    <row r="61" customHeight="1" spans="1:3">
      <c r="A61" s="26">
        <v>198</v>
      </c>
      <c r="B61" s="28" t="s">
        <v>25</v>
      </c>
      <c r="C61" s="28" t="s">
        <v>95</v>
      </c>
    </row>
    <row r="62" customHeight="1" spans="1:3">
      <c r="A62" s="26">
        <v>100</v>
      </c>
      <c r="B62" s="28" t="s">
        <v>32</v>
      </c>
      <c r="C62" s="28" t="s">
        <v>96</v>
      </c>
    </row>
    <row r="63" customHeight="1" spans="1:3">
      <c r="A63" s="26">
        <v>362</v>
      </c>
      <c r="B63" s="28" t="s">
        <v>25</v>
      </c>
      <c r="C63" s="28" t="s">
        <v>97</v>
      </c>
    </row>
    <row r="64" customHeight="1" spans="1:3">
      <c r="A64" s="26">
        <v>300</v>
      </c>
      <c r="B64" s="28" t="s">
        <v>32</v>
      </c>
      <c r="C64" s="28" t="s">
        <v>98</v>
      </c>
    </row>
    <row r="65" customHeight="1" spans="1:3">
      <c r="A65" s="26">
        <v>128</v>
      </c>
      <c r="B65" s="28" t="s">
        <v>25</v>
      </c>
      <c r="C65" s="28" t="s">
        <v>99</v>
      </c>
    </row>
    <row r="66" customHeight="1" spans="1:3">
      <c r="A66" s="26">
        <v>304.63</v>
      </c>
      <c r="B66" s="28" t="s">
        <v>25</v>
      </c>
      <c r="C66" s="28" t="s">
        <v>90</v>
      </c>
    </row>
    <row r="67" customHeight="1" spans="1:3">
      <c r="A67" s="26">
        <v>4355.5</v>
      </c>
      <c r="B67" s="28" t="s">
        <v>25</v>
      </c>
      <c r="C67" s="28" t="s">
        <v>100</v>
      </c>
    </row>
    <row r="68" customHeight="1" spans="1:3">
      <c r="A68" s="26">
        <v>-180</v>
      </c>
      <c r="B68" s="28" t="s">
        <v>25</v>
      </c>
      <c r="C68" s="28" t="s">
        <v>101</v>
      </c>
    </row>
    <row r="69" customHeight="1" spans="1:3">
      <c r="A69" s="26">
        <v>350</v>
      </c>
      <c r="B69" s="28" t="s">
        <v>25</v>
      </c>
      <c r="C69" s="28" t="s">
        <v>102</v>
      </c>
    </row>
    <row r="70" customHeight="1" spans="1:3">
      <c r="A70" s="26">
        <v>224</v>
      </c>
      <c r="B70" s="28" t="s">
        <v>25</v>
      </c>
      <c r="C70" s="28" t="s">
        <v>103</v>
      </c>
    </row>
    <row r="71" customHeight="1" spans="1:3">
      <c r="A71" s="26">
        <v>177</v>
      </c>
      <c r="B71" s="28" t="s">
        <v>25</v>
      </c>
      <c r="C71" s="28" t="s">
        <v>104</v>
      </c>
    </row>
    <row r="72" customHeight="1" spans="1:3">
      <c r="A72" s="26">
        <v>112.2</v>
      </c>
      <c r="B72" s="28" t="s">
        <v>25</v>
      </c>
      <c r="C72" s="28" t="s">
        <v>105</v>
      </c>
    </row>
    <row r="73" customHeight="1" spans="1:3">
      <c r="A73" s="26">
        <v>-896</v>
      </c>
      <c r="B73" s="28" t="s">
        <v>25</v>
      </c>
      <c r="C73" s="28" t="s">
        <v>106</v>
      </c>
    </row>
    <row r="74" customHeight="1" spans="1:3">
      <c r="A74" s="26">
        <v>1188</v>
      </c>
      <c r="B74" s="28" t="s">
        <v>25</v>
      </c>
      <c r="C74" s="28" t="s">
        <v>107</v>
      </c>
    </row>
    <row r="75" customHeight="1" spans="1:3">
      <c r="A75" s="26">
        <v>2500</v>
      </c>
      <c r="B75" s="28" t="s">
        <v>25</v>
      </c>
      <c r="C75" s="28" t="s">
        <v>108</v>
      </c>
    </row>
    <row r="76" customHeight="1" spans="1:3">
      <c r="A76" s="26">
        <v>299</v>
      </c>
      <c r="B76" s="28" t="s">
        <v>14</v>
      </c>
      <c r="C76" s="28" t="s">
        <v>109</v>
      </c>
    </row>
    <row r="77" customHeight="1" spans="1:3">
      <c r="A77" s="26">
        <v>-433</v>
      </c>
      <c r="B77" s="28" t="s">
        <v>25</v>
      </c>
      <c r="C77" s="28" t="s">
        <v>110</v>
      </c>
    </row>
    <row r="78" customHeight="1" spans="1:3">
      <c r="A78" s="26">
        <v>50</v>
      </c>
      <c r="B78" s="28" t="s">
        <v>32</v>
      </c>
      <c r="C78" s="28" t="s">
        <v>111</v>
      </c>
    </row>
    <row r="79" customHeight="1" spans="1:3">
      <c r="A79" s="26">
        <v>601.92</v>
      </c>
      <c r="B79" s="28" t="s">
        <v>25</v>
      </c>
      <c r="C79" s="28" t="s">
        <v>112</v>
      </c>
    </row>
    <row r="80" customHeight="1" spans="1:3">
      <c r="A80" s="26">
        <v>390</v>
      </c>
      <c r="B80" s="28" t="s">
        <v>25</v>
      </c>
      <c r="C80" s="28" t="s">
        <v>113</v>
      </c>
    </row>
    <row r="81" customHeight="1" spans="1:3">
      <c r="A81" s="26">
        <v>300</v>
      </c>
      <c r="B81" s="28" t="s">
        <v>14</v>
      </c>
      <c r="C81" s="28" t="s">
        <v>114</v>
      </c>
    </row>
    <row r="82" customHeight="1" spans="1:3">
      <c r="A82" s="26">
        <v>125.1</v>
      </c>
      <c r="B82" s="28" t="s">
        <v>25</v>
      </c>
      <c r="C82" s="28" t="s">
        <v>115</v>
      </c>
    </row>
    <row r="83" customHeight="1" spans="1:3">
      <c r="A83" s="26">
        <v>170</v>
      </c>
      <c r="B83" s="28" t="s">
        <v>25</v>
      </c>
      <c r="C83" s="28" t="s">
        <v>116</v>
      </c>
    </row>
    <row r="84" customHeight="1" spans="1:3">
      <c r="A84" s="26">
        <v>198</v>
      </c>
      <c r="B84" s="28" t="s">
        <v>25</v>
      </c>
      <c r="C84" s="28" t="s">
        <v>95</v>
      </c>
    </row>
    <row r="85" customHeight="1" spans="1:3">
      <c r="A85" s="26">
        <v>308</v>
      </c>
      <c r="B85" s="28" t="s">
        <v>25</v>
      </c>
      <c r="C85" s="28" t="s">
        <v>117</v>
      </c>
    </row>
    <row r="86" customHeight="1" spans="1:3">
      <c r="A86" s="26">
        <v>7560</v>
      </c>
      <c r="B86" s="28" t="s">
        <v>25</v>
      </c>
      <c r="C86" s="28" t="s">
        <v>118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119</v>
      </c>
    </row>
    <row r="89" customHeight="1" spans="1:3">
      <c r="A89" s="26">
        <v>33.9</v>
      </c>
      <c r="B89" s="28" t="s">
        <v>14</v>
      </c>
      <c r="C89" s="28" t="s">
        <v>120</v>
      </c>
    </row>
    <row r="90" customHeight="1" spans="1:3">
      <c r="A90" s="26">
        <v>1410</v>
      </c>
      <c r="B90" s="28" t="s">
        <v>25</v>
      </c>
      <c r="C90" s="28" t="s">
        <v>121</v>
      </c>
    </row>
    <row r="91" customHeight="1" spans="1:3">
      <c r="A91" s="26">
        <v>81.65</v>
      </c>
      <c r="B91" s="28" t="s">
        <v>14</v>
      </c>
      <c r="C91" s="28" t="s">
        <v>122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123</v>
      </c>
    </row>
    <row r="94" customHeight="1" spans="1:3">
      <c r="A94" s="26">
        <v>244.6</v>
      </c>
      <c r="B94" s="28" t="s">
        <v>25</v>
      </c>
      <c r="C94" s="28" t="s">
        <v>124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125</v>
      </c>
    </row>
    <row r="97" customHeight="1" spans="1:3">
      <c r="A97" s="26">
        <v>120</v>
      </c>
      <c r="B97" s="28" t="s">
        <v>25</v>
      </c>
      <c r="C97" s="28" t="s">
        <v>126</v>
      </c>
    </row>
    <row r="98" customHeight="1" spans="1:3">
      <c r="A98" s="26">
        <v>2555</v>
      </c>
      <c r="B98" s="28" t="s">
        <v>25</v>
      </c>
      <c r="C98" s="28" t="s">
        <v>127</v>
      </c>
    </row>
    <row r="99" customHeight="1" spans="1:3">
      <c r="A99" s="26">
        <v>106</v>
      </c>
      <c r="B99" s="28" t="s">
        <v>25</v>
      </c>
      <c r="C99" s="28" t="s">
        <v>128</v>
      </c>
    </row>
    <row r="100" customHeight="1" spans="1:3">
      <c r="A100" s="26">
        <v>22.8</v>
      </c>
      <c r="B100" s="28" t="s">
        <v>14</v>
      </c>
      <c r="C100" s="28" t="s">
        <v>129</v>
      </c>
    </row>
    <row r="101" customHeight="1" spans="1:3">
      <c r="A101" s="26">
        <v>390</v>
      </c>
      <c r="B101" s="28" t="s">
        <v>25</v>
      </c>
      <c r="C101" s="28" t="s">
        <v>130</v>
      </c>
    </row>
    <row r="102" customHeight="1" spans="1:3">
      <c r="A102" s="26">
        <v>246</v>
      </c>
      <c r="B102" s="28" t="s">
        <v>25</v>
      </c>
      <c r="C102" s="28" t="s">
        <v>123</v>
      </c>
    </row>
    <row r="103" customHeight="1" spans="1:3">
      <c r="A103" s="26">
        <v>130</v>
      </c>
      <c r="B103" s="28" t="s">
        <v>14</v>
      </c>
      <c r="C103" s="28" t="s">
        <v>131</v>
      </c>
    </row>
    <row r="104" customHeight="1" spans="1:3">
      <c r="A104" s="26">
        <v>96</v>
      </c>
      <c r="B104" s="28" t="s">
        <v>25</v>
      </c>
      <c r="C104" s="28" t="s">
        <v>132</v>
      </c>
    </row>
    <row r="105" customHeight="1" spans="1:3">
      <c r="A105" s="26">
        <v>104.36</v>
      </c>
      <c r="B105" s="28" t="s">
        <v>25</v>
      </c>
      <c r="C105" s="28" t="s">
        <v>133</v>
      </c>
    </row>
    <row r="106" customHeight="1" spans="1:3">
      <c r="A106" s="26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abSelected="1" workbookViewId="0">
      <selection activeCell="D46" sqref="D46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50447.48</v>
      </c>
      <c r="C3" s="6" t="s">
        <v>49</v>
      </c>
    </row>
    <row r="4" customHeight="1" spans="1:3">
      <c r="A4" s="8" t="s">
        <v>50</v>
      </c>
      <c r="B4" s="9">
        <f>SUM(支出明细2604[支出明细])</f>
        <v>49908.93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22617.63</v>
      </c>
      <c r="C5" s="10" t="s">
        <v>49</v>
      </c>
    </row>
    <row r="6" customHeight="1" spans="1:3">
      <c r="A6" s="10" t="s">
        <v>52</v>
      </c>
      <c r="B6" s="11">
        <f>$B$3-$B$4</f>
        <v>538.550000000003</v>
      </c>
      <c r="C6" s="10" t="s">
        <v>49</v>
      </c>
    </row>
    <row r="7" customHeight="1" spans="1:3">
      <c r="A7" s="10" t="s">
        <v>53</v>
      </c>
      <c r="B7" s="12">
        <f>$B$5/$B$3</f>
        <v>0.44834013512667</v>
      </c>
      <c r="C7" s="10" t="s">
        <v>54</v>
      </c>
    </row>
    <row r="8" customHeight="1" spans="1:3">
      <c r="A8" s="10" t="s">
        <v>55</v>
      </c>
      <c r="B8" s="12">
        <f>$B$6/$B$3</f>
        <v>0.0106754589129131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15710.8</v>
      </c>
      <c r="C13" s="12">
        <f>$B$13/$B$3</f>
        <v>0.311428836484994</v>
      </c>
    </row>
    <row r="14" customHeight="1" spans="1:3">
      <c r="A14" s="10" t="s">
        <v>61</v>
      </c>
      <c r="B14" s="11">
        <f>SUMIF(收入明细2604[分类],"美团外卖",收入明细2604[收入明细])</f>
        <v>18407.68</v>
      </c>
      <c r="C14" s="12">
        <f>$B$14/$B$3</f>
        <v>0.36488799836979</v>
      </c>
    </row>
    <row r="15" customHeight="1" spans="1:3">
      <c r="A15" s="10" t="s">
        <v>62</v>
      </c>
      <c r="B15" s="11">
        <f>SUMIF(收入明细2604[分类],"微信堂食",收入明细2604[收入明细])</f>
        <v>7976.67</v>
      </c>
      <c r="C15" s="12">
        <f>$B$15/$B$3</f>
        <v>0.158118304422738</v>
      </c>
    </row>
    <row r="16" customHeight="1" spans="1:3">
      <c r="A16" s="10" t="s">
        <v>63</v>
      </c>
      <c r="B16" s="11">
        <f>SUMIF(收入明细2604[分类],"支付宝堂食",收入明细2604[收入明细])</f>
        <v>2226.43</v>
      </c>
      <c r="C16" s="12">
        <f>$B$16/$B$3</f>
        <v>0.0441336217388857</v>
      </c>
    </row>
    <row r="17" customHeight="1" spans="1:3">
      <c r="A17" s="10" t="s">
        <v>64</v>
      </c>
      <c r="B17" s="11">
        <f>SUMIF(收入明细2604[分类],"京东外卖",收入明细2604[收入明细])</f>
        <v>6108.35</v>
      </c>
      <c r="C17" s="12">
        <f>$B$17/$B$3</f>
        <v>0.121083352429101</v>
      </c>
    </row>
    <row r="18" customHeight="1" spans="1:3">
      <c r="A18" s="10" t="s">
        <v>135</v>
      </c>
      <c r="B18" s="11">
        <f>SUMIF(收入明细2604[分类],"抖音来客",收入明细2604[收入明细])</f>
        <v>17.55</v>
      </c>
      <c r="C18" s="12">
        <f>$B$18/$B$3</f>
        <v>0.000347886554491919</v>
      </c>
    </row>
    <row r="19" customHeight="1" spans="1:3">
      <c r="A19" s="16" t="s">
        <v>65</v>
      </c>
      <c r="B19" s="17">
        <f>SUM(B13:B17)</f>
        <v>50429.93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SUMIF(支出明细2604[分类],"食材",支出明细2604[支出明细])</f>
        <v>27829.85</v>
      </c>
      <c r="C24" s="12">
        <f>$B$24/$B$4</f>
        <v>0.557612635654581</v>
      </c>
    </row>
    <row r="25" customHeight="1" spans="1:3">
      <c r="A25" s="10" t="s">
        <v>68</v>
      </c>
      <c r="B25" s="11">
        <f>SUMIF(支出明细2604[分类],"工资",支出明细2604[支出明细])</f>
        <v>12000</v>
      </c>
      <c r="C25" s="12">
        <f>$B$25/$B$4</f>
        <v>0.240437933652354</v>
      </c>
    </row>
    <row r="26" customHeight="1" spans="1:3">
      <c r="A26" s="10" t="s">
        <v>6</v>
      </c>
      <c r="B26" s="11">
        <f>SUMIF(支出明细2604[分类],"房租",支出明细2604[支出明细])</f>
        <v>4333</v>
      </c>
      <c r="C26" s="12">
        <f>$B$26/$B$4</f>
        <v>0.086818130542971</v>
      </c>
    </row>
    <row r="27" customHeight="1" spans="1:3">
      <c r="A27" s="10" t="s">
        <v>32</v>
      </c>
      <c r="B27" s="11">
        <f>SUMIF(支出明细2604[分类],"推广",支出明细2604[支出明细])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SUMIF(支出明细2604[分类],"水电",支出明细2604[支出明细])</f>
        <v>3355</v>
      </c>
      <c r="C28" s="12">
        <f>$B$28/$B$4</f>
        <v>0.0672224389503041</v>
      </c>
    </row>
    <row r="29" customHeight="1" spans="1:3">
      <c r="A29" s="10" t="s">
        <v>14</v>
      </c>
      <c r="B29" s="11">
        <f>SUMIF(支出明细2604[分类],"其他",支出明细2604[支出明细])</f>
        <v>2391.08</v>
      </c>
      <c r="C29" s="12">
        <f>$B$29/$B$4</f>
        <v>0.0479088611997893</v>
      </c>
    </row>
    <row r="30" customHeight="1" spans="1:3">
      <c r="A30" s="23" t="s">
        <v>65</v>
      </c>
      <c r="B30" s="24">
        <f>SUM(B24:B29)</f>
        <v>49908.93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7729.51</v>
      </c>
      <c r="B34" s="27" t="s">
        <v>62</v>
      </c>
      <c r="C34" s="28" t="s">
        <v>136</v>
      </c>
    </row>
    <row r="35" customHeight="1" spans="1:3">
      <c r="A35" s="29">
        <v>247.16</v>
      </c>
      <c r="B35" s="27" t="s">
        <v>62</v>
      </c>
      <c r="C35" s="28" t="s">
        <v>137</v>
      </c>
    </row>
    <row r="36" customHeight="1" spans="1:3">
      <c r="A36" s="29">
        <v>2226.43</v>
      </c>
      <c r="B36" s="27" t="s">
        <v>63</v>
      </c>
      <c r="C36" s="28"/>
    </row>
    <row r="37" customHeight="1" spans="1:3">
      <c r="A37" s="29">
        <v>6108.35</v>
      </c>
      <c r="B37" s="27" t="s">
        <v>64</v>
      </c>
      <c r="C37" s="28"/>
    </row>
    <row r="38" customHeight="1" spans="1:3">
      <c r="A38" s="29">
        <v>15710.8</v>
      </c>
      <c r="B38" s="27" t="s">
        <v>60</v>
      </c>
      <c r="C38" s="28"/>
    </row>
    <row r="39" customHeight="1" spans="1:3">
      <c r="A39" s="29">
        <v>18407.68</v>
      </c>
      <c r="B39" s="27" t="s">
        <v>61</v>
      </c>
      <c r="C39" s="28"/>
    </row>
    <row r="40" customHeight="1" spans="1:3">
      <c r="A40" s="26">
        <v>17.55</v>
      </c>
      <c r="B40" s="30" t="s">
        <v>135</v>
      </c>
      <c r="C40" s="31"/>
    </row>
    <row r="41" customHeight="1" spans="1:3">
      <c r="A41" s="26"/>
      <c r="B41" s="30"/>
      <c r="C41" s="31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68</v>
      </c>
    </row>
    <row r="46" customHeight="1" spans="1:3">
      <c r="A46" s="26">
        <v>3355</v>
      </c>
      <c r="B46" s="28" t="s">
        <v>37</v>
      </c>
      <c r="C46" s="28" t="s">
        <v>37</v>
      </c>
    </row>
    <row r="47" customHeight="1" spans="1:3">
      <c r="A47" s="26">
        <v>4000</v>
      </c>
      <c r="B47" s="28" t="s">
        <v>25</v>
      </c>
      <c r="C47" s="28" t="s">
        <v>138</v>
      </c>
    </row>
    <row r="48" customHeight="1" spans="1:3">
      <c r="A48" s="26">
        <v>397.58</v>
      </c>
      <c r="B48" s="27" t="s">
        <v>25</v>
      </c>
      <c r="C48" s="28" t="s">
        <v>139</v>
      </c>
    </row>
    <row r="49" customHeight="1" spans="1:3">
      <c r="A49" s="26">
        <v>2521.87</v>
      </c>
      <c r="B49" s="27" t="s">
        <v>25</v>
      </c>
      <c r="C49" s="28" t="s">
        <v>140</v>
      </c>
    </row>
    <row r="50" customHeight="1" spans="1:3">
      <c r="A50" s="26">
        <v>601.92</v>
      </c>
      <c r="B50" s="2" t="s">
        <v>25</v>
      </c>
      <c r="C50" s="2" t="s">
        <v>112</v>
      </c>
    </row>
    <row r="51" customHeight="1" spans="1:3">
      <c r="A51" s="26">
        <v>86.24</v>
      </c>
      <c r="B51" s="2" t="s">
        <v>25</v>
      </c>
      <c r="C51" s="2" t="s">
        <v>141</v>
      </c>
    </row>
    <row r="52" customHeight="1" spans="1:3">
      <c r="A52" s="26">
        <v>83.64</v>
      </c>
      <c r="B52" s="2" t="s">
        <v>25</v>
      </c>
      <c r="C52" s="2" t="s">
        <v>142</v>
      </c>
    </row>
    <row r="53" customHeight="1" spans="1:3">
      <c r="A53" s="26">
        <v>280</v>
      </c>
      <c r="B53" s="2" t="s">
        <v>25</v>
      </c>
      <c r="C53" s="2" t="s">
        <v>143</v>
      </c>
    </row>
    <row r="54" customHeight="1" spans="1:3">
      <c r="A54" s="26">
        <v>50</v>
      </c>
      <c r="B54" s="2" t="s">
        <v>14</v>
      </c>
      <c r="C54" s="2" t="s">
        <v>144</v>
      </c>
    </row>
    <row r="55" customHeight="1" spans="1:3">
      <c r="A55" s="26">
        <v>618</v>
      </c>
      <c r="B55" s="2" t="s">
        <v>25</v>
      </c>
      <c r="C55" s="2" t="s">
        <v>145</v>
      </c>
    </row>
    <row r="56" customHeight="1" spans="1:3">
      <c r="A56" s="26">
        <v>8092</v>
      </c>
      <c r="B56" s="2" t="s">
        <v>25</v>
      </c>
      <c r="C56" s="2" t="s">
        <v>146</v>
      </c>
    </row>
    <row r="57" customHeight="1" spans="1:3">
      <c r="A57" s="26">
        <v>1379</v>
      </c>
      <c r="B57" s="2" t="s">
        <v>25</v>
      </c>
      <c r="C57" s="2" t="s">
        <v>147</v>
      </c>
    </row>
    <row r="58" customHeight="1" spans="1:3">
      <c r="A58" s="26">
        <v>150</v>
      </c>
      <c r="B58" s="2" t="s">
        <v>14</v>
      </c>
      <c r="C58" s="2" t="s">
        <v>148</v>
      </c>
    </row>
    <row r="59" customHeight="1" spans="1:3">
      <c r="A59" s="26">
        <v>700</v>
      </c>
      <c r="B59" s="2" t="s">
        <v>14</v>
      </c>
      <c r="C59" s="2" t="s">
        <v>149</v>
      </c>
    </row>
    <row r="60" customHeight="1" spans="1:3">
      <c r="A60" s="26">
        <v>350</v>
      </c>
      <c r="B60" s="2" t="s">
        <v>25</v>
      </c>
      <c r="C60" s="2" t="s">
        <v>150</v>
      </c>
    </row>
    <row r="61" customHeight="1" spans="1:3">
      <c r="A61" s="26">
        <v>381</v>
      </c>
      <c r="B61" s="2" t="s">
        <v>25</v>
      </c>
      <c r="C61" s="2" t="s">
        <v>151</v>
      </c>
    </row>
    <row r="62" customHeight="1" spans="1:3">
      <c r="A62" s="26">
        <v>16.08</v>
      </c>
      <c r="B62" s="2" t="s">
        <v>14</v>
      </c>
      <c r="C62" s="2" t="s">
        <v>152</v>
      </c>
    </row>
    <row r="63" customHeight="1" spans="1:3">
      <c r="A63" s="26">
        <v>396</v>
      </c>
      <c r="B63" s="2" t="s">
        <v>25</v>
      </c>
      <c r="C63" s="2" t="s">
        <v>153</v>
      </c>
    </row>
    <row r="64" customHeight="1" spans="1:3">
      <c r="A64" s="26">
        <v>602</v>
      </c>
      <c r="B64" s="2" t="s">
        <v>25</v>
      </c>
      <c r="C64" s="2" t="s">
        <v>112</v>
      </c>
    </row>
    <row r="65" customHeight="1" spans="1:3">
      <c r="A65" s="26">
        <v>200</v>
      </c>
      <c r="B65" s="2" t="s">
        <v>14</v>
      </c>
      <c r="C65" s="2" t="s">
        <v>154</v>
      </c>
    </row>
    <row r="66" customHeight="1" spans="1:3">
      <c r="A66" s="26">
        <v>80</v>
      </c>
      <c r="B66" s="2" t="s">
        <v>25</v>
      </c>
      <c r="C66" s="2" t="s">
        <v>155</v>
      </c>
    </row>
    <row r="67" customHeight="1" spans="1:3">
      <c r="A67" s="26">
        <v>912</v>
      </c>
      <c r="B67" s="2" t="s">
        <v>25</v>
      </c>
      <c r="C67" s="2" t="s">
        <v>156</v>
      </c>
    </row>
    <row r="68" customHeight="1" spans="1:3">
      <c r="A68" s="26">
        <v>6783</v>
      </c>
      <c r="B68" s="2" t="s">
        <v>25</v>
      </c>
      <c r="C68" s="2" t="s">
        <v>157</v>
      </c>
    </row>
    <row r="69" customHeight="1" spans="1:3">
      <c r="A69" s="26">
        <v>265.6</v>
      </c>
      <c r="B69" s="2" t="s">
        <v>25</v>
      </c>
      <c r="C69" s="2" t="s">
        <v>158</v>
      </c>
    </row>
    <row r="70" customHeight="1" spans="1:3">
      <c r="A70" s="26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5"/>
  <sheetViews>
    <sheetView topLeftCell="A31" workbookViewId="0">
      <selection activeCell="E47" sqref="E47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SUM(收入明细260410[收入明细])</f>
        <v>0</v>
      </c>
      <c r="C3" s="6" t="s">
        <v>49</v>
      </c>
    </row>
    <row r="4" customHeight="1" spans="1:3">
      <c r="A4" s="8" t="s">
        <v>50</v>
      </c>
      <c r="B4" s="9">
        <f>SUM(支出明细26049[支出明细])</f>
        <v>33507.92</v>
      </c>
      <c r="C4" s="8" t="s">
        <v>49</v>
      </c>
    </row>
    <row r="5" customHeight="1" spans="1:3">
      <c r="A5" s="10" t="s">
        <v>51</v>
      </c>
      <c r="B5" s="11">
        <f>$B$3-SUMIF(支出明细26049[分类],"食材",支出明细26049[支出明细])</f>
        <v>-12349.92</v>
      </c>
      <c r="C5" s="10" t="s">
        <v>49</v>
      </c>
    </row>
    <row r="6" customHeight="1" spans="1:3">
      <c r="A6" s="10" t="s">
        <v>52</v>
      </c>
      <c r="B6" s="11">
        <f>$B$3-$B$4</f>
        <v>-33507.92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SUMIF(收入明细260410[分类],"淘宝外卖",收入明细260410[收入明细])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SUMIF(收入明细260410[分类],"美团外卖",收入明细260410[收入明细])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SUMIF(收入明细260410[分类],"微信堂食",收入明细260410[收入明细])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SUMIF(收入明细260410[分类],"支付宝堂食",收入明细260410[收入明细])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SUMIF(收入明细260410[分类],"京东外卖",收入明细260410[收入明细])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SUMIF(支出明细26049[分类],"食材",支出明细26049[支出明细])</f>
        <v>12349.92</v>
      </c>
      <c r="C23" s="12">
        <f>$B$23/$B$4</f>
        <v>0.368567192472705</v>
      </c>
    </row>
    <row r="24" customHeight="1" spans="1:3">
      <c r="A24" s="10" t="s">
        <v>68</v>
      </c>
      <c r="B24" s="11">
        <f>SUMIF(支出明细26049[分类],"工资",支出明细26049[支出明细])</f>
        <v>12000</v>
      </c>
      <c r="C24" s="12">
        <f>$B$24/$B$4</f>
        <v>0.358124288227977</v>
      </c>
    </row>
    <row r="25" customHeight="1" spans="1:3">
      <c r="A25" s="10" t="s">
        <v>6</v>
      </c>
      <c r="B25" s="11">
        <f>SUMIF(支出明细26049[分类],"房租",支出明细26049[支出明细])</f>
        <v>4333</v>
      </c>
      <c r="C25" s="12">
        <f>$B$25/$B$4</f>
        <v>0.129312711740985</v>
      </c>
    </row>
    <row r="26" customHeight="1" spans="1:3">
      <c r="A26" s="10" t="s">
        <v>32</v>
      </c>
      <c r="B26" s="11">
        <f>SUMIF(支出明细26049[分类],"推广",支出明细26049[支出明细])</f>
        <v>300</v>
      </c>
      <c r="C26" s="12">
        <f>$B$26/$B$4</f>
        <v>0.00895310720569943</v>
      </c>
    </row>
    <row r="27" customHeight="1" spans="1:3">
      <c r="A27" s="10" t="s">
        <v>37</v>
      </c>
      <c r="B27" s="11">
        <f>SUMIF(支出明细26049[分类],"水电",支出明细26049[支出明细])</f>
        <v>3000</v>
      </c>
      <c r="C27" s="12">
        <f>$B$27/$B$4</f>
        <v>0.0895310720569943</v>
      </c>
    </row>
    <row r="28" customHeight="1" spans="1:3">
      <c r="A28" s="10" t="s">
        <v>14</v>
      </c>
      <c r="B28" s="11">
        <f>SUMIF(支出明细26049[分类],"其他",支出明细26049[支出明细])</f>
        <v>1525</v>
      </c>
      <c r="C28" s="12">
        <f>$B$28/$B$4</f>
        <v>0.0455116282956388</v>
      </c>
    </row>
    <row r="29" customHeight="1" spans="1:3">
      <c r="A29" s="23" t="s">
        <v>65</v>
      </c>
      <c r="B29" s="24">
        <f>SUM(B23:B28)</f>
        <v>33507.92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160</v>
      </c>
      <c r="C33" s="28"/>
    </row>
    <row r="34" customHeight="1" spans="1:3">
      <c r="A34" s="29">
        <v>0</v>
      </c>
      <c r="B34" s="27" t="s">
        <v>161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hidden="1" customHeight="1" spans="1:3">
      <c r="A42" s="26">
        <v>4333</v>
      </c>
      <c r="B42" s="28" t="s">
        <v>6</v>
      </c>
      <c r="C42" s="28" t="s">
        <v>72</v>
      </c>
    </row>
    <row r="43" hidden="1" customHeight="1" spans="1:3">
      <c r="A43" s="26">
        <v>12000</v>
      </c>
      <c r="B43" s="28" t="s">
        <v>68</v>
      </c>
      <c r="C43" s="28" t="s">
        <v>162</v>
      </c>
    </row>
    <row r="44" hidden="1" customHeight="1" spans="1:3">
      <c r="A44" s="26">
        <v>3000</v>
      </c>
      <c r="B44" s="28" t="s">
        <v>37</v>
      </c>
      <c r="C44" s="28" t="s">
        <v>162</v>
      </c>
    </row>
    <row r="45" customHeight="1" spans="1:3">
      <c r="A45" s="26">
        <v>2000</v>
      </c>
      <c r="B45" s="27" t="s">
        <v>25</v>
      </c>
      <c r="C45" s="28" t="s">
        <v>163</v>
      </c>
    </row>
    <row r="46" customHeight="1" spans="1:3">
      <c r="A46" s="26">
        <v>915</v>
      </c>
      <c r="B46" s="2" t="s">
        <v>25</v>
      </c>
      <c r="C46" s="2" t="s">
        <v>164</v>
      </c>
    </row>
    <row r="47" customHeight="1" spans="1:3">
      <c r="A47" s="26">
        <v>601.92</v>
      </c>
      <c r="B47" s="2" t="s">
        <v>25</v>
      </c>
      <c r="C47" s="2" t="s">
        <v>112</v>
      </c>
    </row>
    <row r="48" hidden="1" customHeight="1" spans="1:3">
      <c r="A48" s="26">
        <v>1275</v>
      </c>
      <c r="B48" s="2" t="s">
        <v>14</v>
      </c>
      <c r="C48" s="2" t="s">
        <v>159</v>
      </c>
    </row>
    <row r="49" customHeight="1" spans="1:3">
      <c r="A49" s="26">
        <v>200</v>
      </c>
      <c r="B49" s="2" t="s">
        <v>14</v>
      </c>
      <c r="C49" s="2" t="s">
        <v>165</v>
      </c>
    </row>
    <row r="50" customHeight="1" spans="1:3">
      <c r="A50" s="26">
        <v>678</v>
      </c>
      <c r="B50" s="2" t="s">
        <v>25</v>
      </c>
      <c r="C50" s="2" t="s">
        <v>166</v>
      </c>
    </row>
    <row r="51" customHeight="1" spans="1:3">
      <c r="A51" s="26">
        <v>6795</v>
      </c>
      <c r="B51" s="2" t="s">
        <v>25</v>
      </c>
      <c r="C51" s="2" t="s">
        <v>167</v>
      </c>
    </row>
    <row r="52" customHeight="1" spans="1:3">
      <c r="A52" s="26">
        <v>50</v>
      </c>
      <c r="B52" s="2" t="s">
        <v>14</v>
      </c>
      <c r="C52" s="2" t="s">
        <v>144</v>
      </c>
    </row>
    <row r="53" customHeight="1" spans="1:3">
      <c r="A53" s="26">
        <v>500</v>
      </c>
      <c r="B53" s="2" t="s">
        <v>25</v>
      </c>
      <c r="C53" s="2" t="s">
        <v>168</v>
      </c>
    </row>
    <row r="54" customHeight="1" spans="1:3">
      <c r="A54" s="26">
        <v>300</v>
      </c>
      <c r="B54" s="2" t="s">
        <v>32</v>
      </c>
      <c r="C54" s="2" t="s">
        <v>169</v>
      </c>
    </row>
    <row r="55" customHeight="1" spans="1:3">
      <c r="A55" s="26">
        <v>860</v>
      </c>
      <c r="B55" s="2" t="s">
        <v>25</v>
      </c>
      <c r="C55" s="2" t="s">
        <v>170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8 B49 B50 B51 B52 B53 B54 B55 B2:B7 B42:B45 B46:B47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开店成本清单</vt:lpstr>
      <vt:lpstr>2026-02流水</vt:lpstr>
      <vt:lpstr>2026-03流水</vt:lpstr>
      <vt:lpstr>2026-04流水</vt:lpstr>
      <vt:lpstr>2026-05流水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2026-03-01T19:28:00Z</dcterms:created>
  <dcterms:modified xsi:type="dcterms:W3CDTF">2026-05-06T16:08:47Z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