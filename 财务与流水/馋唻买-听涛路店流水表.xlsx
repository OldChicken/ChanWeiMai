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20" tabRatio="723" activeTab="8"/>
  </bookViews>
  <sheets>
    <sheet name="开店成本清单" sheetId="1" r:id="rId1"/>
    <sheet name="2026-02流水" sheetId="2" r:id="rId2"/>
    <sheet name="2026-03流水" sheetId="3" r:id="rId3"/>
    <sheet name="2026-04流水" sheetId="4" r:id="rId4"/>
    <sheet name="2026-05流水" sheetId="5" r:id="rId5"/>
    <sheet name="2026-06流水" sheetId="6" r:id="rId6"/>
    <sheet name="2026-07流水" sheetId="7" r:id="rId7"/>
    <sheet name="2026-08流水" sheetId="8" r:id="rId8"/>
    <sheet name="2026-09流水" sheetId="9" r:id="rId9"/>
    <sheet name="2026-10流水" sheetId="10" r:id="rId10"/>
  </sheets>
  <calcPr calcId="144525"/>
</workbook>
</file>

<file path=xl/sharedStrings.xml><?xml version="1.0" encoding="utf-8"?>
<sst xmlns="http://schemas.openxmlformats.org/spreadsheetml/2006/main" count="1019" uniqueCount="224">
  <si>
    <t>总预算(元)</t>
  </si>
  <si>
    <t>实际总花费(元)</t>
  </si>
  <si>
    <t>余额(元)</t>
  </si>
  <si>
    <t>金额(元)</t>
  </si>
  <si>
    <t>分类</t>
  </si>
  <si>
    <t>说明</t>
  </si>
  <si>
    <t>房租</t>
  </si>
  <si>
    <t>房租押金</t>
  </si>
  <si>
    <t>半年房租：年租金5.2万，半年付</t>
  </si>
  <si>
    <t>装修</t>
  </si>
  <si>
    <t>装修押金</t>
  </si>
  <si>
    <t>广告牌、灯牌费用</t>
  </si>
  <si>
    <t>物业水管改造</t>
  </si>
  <si>
    <t>隔壁改装水电</t>
  </si>
  <si>
    <t>其他</t>
  </si>
  <si>
    <t>外卖商品照片</t>
  </si>
  <si>
    <t>设备</t>
  </si>
  <si>
    <t>设备+零散材料</t>
  </si>
  <si>
    <t>装修水电进场</t>
  </si>
  <si>
    <t>桌椅首批</t>
  </si>
  <si>
    <t>门头设计</t>
  </si>
  <si>
    <t>小票打印机</t>
  </si>
  <si>
    <t>烤肠机</t>
  </si>
  <si>
    <t>油烟机</t>
  </si>
  <si>
    <t>小米手机</t>
  </si>
  <si>
    <t>食材</t>
  </si>
  <si>
    <t>快驴充值</t>
  </si>
  <si>
    <t>开店首批食材</t>
  </si>
  <si>
    <t>员工工作服</t>
  </si>
  <si>
    <t>扫码点餐物料</t>
  </si>
  <si>
    <t>装修尾款</t>
  </si>
  <si>
    <t>外卖店铺装修</t>
  </si>
  <si>
    <t>推广</t>
  </si>
  <si>
    <t>外卖首日刷单</t>
  </si>
  <si>
    <t>淘宝300+美团300，首充</t>
  </si>
  <si>
    <t>包装盒补货</t>
  </si>
  <si>
    <t>火鸡面补货</t>
  </si>
  <si>
    <t>水电</t>
  </si>
  <si>
    <t>一月电费</t>
  </si>
  <si>
    <t>其他杂项：床+宽带</t>
  </si>
  <si>
    <t>自购食材(非快驴、老家进货)</t>
  </si>
  <si>
    <t>主食材补货</t>
  </si>
  <si>
    <t>硅胶防烫套</t>
  </si>
  <si>
    <t>小米空调</t>
  </si>
  <si>
    <t>营收统计</t>
  </si>
  <si>
    <t>指标</t>
  </si>
  <si>
    <t>数值</t>
  </si>
  <si>
    <t>单位</t>
  </si>
  <si>
    <t>总收入</t>
  </si>
  <si>
    <t>元</t>
  </si>
  <si>
    <t>总支出</t>
  </si>
  <si>
    <t>毛利润</t>
  </si>
  <si>
    <t>净利润</t>
  </si>
  <si>
    <t>毛利率</t>
  </si>
  <si>
    <t>%</t>
  </si>
  <si>
    <t>净利率</t>
  </si>
  <si>
    <t>收入统计</t>
  </si>
  <si>
    <t>渠道</t>
  </si>
  <si>
    <t>金额</t>
  </si>
  <si>
    <t>占比</t>
  </si>
  <si>
    <t>淘宝外卖</t>
  </si>
  <si>
    <t>美团外卖</t>
  </si>
  <si>
    <t>微信堂食</t>
  </si>
  <si>
    <t>支付宝堂食</t>
  </si>
  <si>
    <t>京东外卖</t>
  </si>
  <si>
    <t>合计</t>
  </si>
  <si>
    <t>支出统计</t>
  </si>
  <si>
    <t>类别</t>
  </si>
  <si>
    <t>工资</t>
  </si>
  <si>
    <t>收入明细</t>
  </si>
  <si>
    <t>本月未上线</t>
  </si>
  <si>
    <t>支出明细</t>
  </si>
  <si>
    <t>月租金</t>
  </si>
  <si>
    <t>员工工资</t>
  </si>
  <si>
    <t>一月水电</t>
  </si>
  <si>
    <t>二月水电</t>
  </si>
  <si>
    <t>老池自购食材</t>
  </si>
  <si>
    <t>商业收款码</t>
  </si>
  <si>
    <t>个人收款码</t>
  </si>
  <si>
    <t>三月工资</t>
  </si>
  <si>
    <t>三月水电</t>
  </si>
  <si>
    <t>芋头小笼120斤*12，肉燕120斤*22.5，菜探长进货</t>
  </si>
  <si>
    <t>肉片300斤*8，高级肉片199斤*9，香菇小笼100斤*11，肉燕100斤*18，鸡翅320，运费455，硕美进货</t>
  </si>
  <si>
    <t>PE食品保鲜袋</t>
  </si>
  <si>
    <t>食材调味粉</t>
  </si>
  <si>
    <t>1280圆打包盒900个，0.52/个</t>
  </si>
  <si>
    <t>1000圆打包盒1000个，0.385/个</t>
  </si>
  <si>
    <t>鸡翅10斤</t>
  </si>
  <si>
    <t>普福店调货补给老李（此处被老李算错账）</t>
  </si>
  <si>
    <t>外卖盒子临时补货</t>
  </si>
  <si>
    <t>火鸡面拼多多补货5箱共150袋</t>
  </si>
  <si>
    <t>美团外卖推广</t>
  </si>
  <si>
    <t>750圆打包盒600个，0.375/个</t>
  </si>
  <si>
    <t>一次性餐具(筷子+勺子)，70元/500个，0.14/个</t>
  </si>
  <si>
    <t>一次性筷子</t>
  </si>
  <si>
    <t>福州鱼丸20包/198</t>
  </si>
  <si>
    <t>京东外卖刷单</t>
  </si>
  <si>
    <t>硕美牛肉丸样品20斤，17一斤+22运费</t>
  </si>
  <si>
    <t>京东外卖推广</t>
  </si>
  <si>
    <t>一次性塑料袋和一次性勺子，塑料袋1分钱/个，勺子8分钱/个</t>
  </si>
  <si>
    <t>300斤肉片2400+100斤牛肉羹1700+运费255.5 = 4355.5</t>
  </si>
  <si>
    <t>老李9元/斤买走20斤上述肉片</t>
  </si>
  <si>
    <t>弹粉进货，4.5/斤，运费0.5/斤</t>
  </si>
  <si>
    <t>300圆碗四箱</t>
  </si>
  <si>
    <t>450圆碗三箱</t>
  </si>
  <si>
    <t>50包火鸡面</t>
  </si>
  <si>
    <t>老李买走100斤肉片</t>
  </si>
  <si>
    <t>老池垫付的牛肉丸+鱼丸钱</t>
  </si>
  <si>
    <t>硕美8元肉片补货300斤+100运费</t>
  </si>
  <si>
    <t>淘宝出餐机签约，299支持返现+免佣300，需要关注</t>
  </si>
  <si>
    <t>老李买走50斤肉片</t>
  </si>
  <si>
    <t>淘宝推广</t>
  </si>
  <si>
    <t>火鸡面10箱</t>
  </si>
  <si>
    <t>1280打包盒</t>
  </si>
  <si>
    <t>电话费300</t>
  </si>
  <si>
    <t>火鸡面临时补货</t>
  </si>
  <si>
    <t>750打包盒600个</t>
  </si>
  <si>
    <t>1000圆碗800个/308元</t>
  </si>
  <si>
    <t>硕美进货，肉片500斤4000，小笼包100斤1100，肉燕100斤1800，鸡翅100个300，鸭爪100个130，运费230</t>
  </si>
  <si>
    <t>菜探长进货的调味粉+运费</t>
  </si>
  <si>
    <t>灭蚊灯</t>
  </si>
  <si>
    <t>菜探长肉筋进货1380+30运费</t>
  </si>
  <si>
    <t>给老家寄肉筋快递费43.65+插线板38</t>
  </si>
  <si>
    <t>1000打包盒600分</t>
  </si>
  <si>
    <t>火鸡面临时补货46.6+福州鱼丸198</t>
  </si>
  <si>
    <t>黄辣椒+溜溜 480</t>
  </si>
  <si>
    <t>白琳肉筋样品</t>
  </si>
  <si>
    <t>硕美进货，肉片500斤4000，小笼包50斤550，肉燕50斤900，牛肉羹50斤850，调味料60，运费195，4000货品算到4月用</t>
  </si>
  <si>
    <t>勺子78+筷子28</t>
  </si>
  <si>
    <t>杀虫剂</t>
  </si>
  <si>
    <t>1280打包盒1000个</t>
  </si>
  <si>
    <t>浙游记开业花篮赠送</t>
  </si>
  <si>
    <t>浙游记肉片样品</t>
  </si>
  <si>
    <t>快驴差价</t>
  </si>
  <si>
    <t>出餐宝返押金</t>
  </si>
  <si>
    <t>抖音来客</t>
  </si>
  <si>
    <t>商业码</t>
  </si>
  <si>
    <t>经营码</t>
  </si>
  <si>
    <t>硕美进货，肉片500斤4000，小笼包50斤550，肉燕50斤900，牛肉羹50斤850，调味料60，运费195，2555货品算到3月用</t>
  </si>
  <si>
    <t>调味品：味素+味精</t>
  </si>
  <si>
    <t>快驴支出</t>
  </si>
  <si>
    <t>封口膜</t>
  </si>
  <si>
    <t>烧卖样品</t>
  </si>
  <si>
    <t>烧卖进货</t>
  </si>
  <si>
    <t>电话费</t>
  </si>
  <si>
    <t>风扇+鱼丸+潮汕肉丸</t>
  </si>
  <si>
    <t>硕美进货，肉片500斤4000，肉燕100斤1800，牛肉羹100斤1700，鸡翅300，鸭爪52，运费240</t>
  </si>
  <si>
    <t>1000打包盒1000个，750打包盒1200个，450打包盒1200个，餐具若干</t>
  </si>
  <si>
    <t>菜单设计</t>
  </si>
  <si>
    <t>遮阳篷+老池其他垫付开支</t>
  </si>
  <si>
    <t>弹粉进货，15/斤，运费50</t>
  </si>
  <si>
    <t>燕面进货，18/斤，运费21</t>
  </si>
  <si>
    <t>淘宝刷了一单</t>
  </si>
  <si>
    <t>牛肉丸+鱼丸进货</t>
  </si>
  <si>
    <t>菜单灯布打印</t>
  </si>
  <si>
    <t>珍享烤肠50根</t>
  </si>
  <si>
    <t>包装盒进货</t>
  </si>
  <si>
    <t>肉片等进货</t>
  </si>
  <si>
    <t>鱼丸牛肉丸进货</t>
  </si>
  <si>
    <t>和面机</t>
  </si>
  <si>
    <t>暂未支付</t>
  </si>
  <si>
    <t>快驴首充</t>
  </si>
  <si>
    <t>白琳肉筋</t>
  </si>
  <si>
    <t>宽带费</t>
  </si>
  <si>
    <t>调味粉</t>
  </si>
  <si>
    <t>硕美进货</t>
  </si>
  <si>
    <t>老池垫付食材</t>
  </si>
  <si>
    <t>三个平台推广</t>
  </si>
  <si>
    <t>打包盒</t>
  </si>
  <si>
    <t>商标注册</t>
  </si>
  <si>
    <t>潮汕牛肉丸</t>
  </si>
  <si>
    <t>淘宝额外充值推广</t>
  </si>
  <si>
    <t>肉片进货</t>
  </si>
  <si>
    <t>刷单</t>
  </si>
  <si>
    <t>盐50包</t>
  </si>
  <si>
    <t>酸菜3罐</t>
  </si>
  <si>
    <t>火鸡面5箱</t>
  </si>
  <si>
    <t>餐具</t>
  </si>
  <si>
    <t>打包盒(1000圆5箱，厂家涨价)</t>
  </si>
  <si>
    <t>肉片</t>
  </si>
  <si>
    <t>烧卖pdd进货</t>
  </si>
  <si>
    <t>美团推广充值</t>
  </si>
  <si>
    <t>鱼丸</t>
  </si>
  <si>
    <t>燕面</t>
  </si>
  <si>
    <t>肉筋刷了到店4单</t>
  </si>
  <si>
    <t>糯米烧麦</t>
  </si>
  <si>
    <t>葱/香菜</t>
  </si>
  <si>
    <t>肉筋刷单</t>
  </si>
  <si>
    <t>肉筋进货50斤</t>
  </si>
  <si>
    <t>笑脸袋</t>
  </si>
  <si>
    <t>潮汕牛筋丸5斤</t>
  </si>
  <si>
    <t>猪油+香菜</t>
  </si>
  <si>
    <t>烧麦进货</t>
  </si>
  <si>
    <t>肉片运费</t>
  </si>
  <si>
    <t>调味品</t>
  </si>
  <si>
    <t>面条烧卖</t>
  </si>
  <si>
    <t>老池垫付部分</t>
  </si>
  <si>
    <t>肉片第一次进货</t>
  </si>
  <si>
    <t>潮汕牛肉丸10包</t>
  </si>
  <si>
    <t>烧麦4袋</t>
  </si>
  <si>
    <t>表哥借款</t>
  </si>
  <si>
    <t>牛肉丸10包</t>
  </si>
  <si>
    <t>烧卖</t>
  </si>
  <si>
    <t>火鸡面1箱</t>
  </si>
  <si>
    <t>小郭不做了补货，货有问题</t>
  </si>
  <si>
    <t>筷子</t>
  </si>
  <si>
    <t>味精/味素</t>
  </si>
  <si>
    <t>肉筋</t>
  </si>
  <si>
    <t>肉片王道凯进货</t>
  </si>
  <si>
    <t>老池垫付相关</t>
  </si>
  <si>
    <t>牛筋丸5包</t>
  </si>
  <si>
    <t>京东刷单</t>
  </si>
  <si>
    <t>可乐一箱</t>
  </si>
  <si>
    <t>紫菜一包</t>
  </si>
  <si>
    <t>火鸡面</t>
  </si>
  <si>
    <t>水电费付</t>
  </si>
  <si>
    <t>快驴</t>
  </si>
  <si>
    <t>烧麦</t>
  </si>
  <si>
    <t>拼多多肉片</t>
  </si>
  <si>
    <t>王道凯肉片</t>
  </si>
  <si>
    <t>牛肉酱一瓶</t>
  </si>
  <si>
    <t>老池垫付</t>
  </si>
  <si>
    <t>香菜</t>
  </si>
  <si>
    <t>酸笋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</si>
</sst>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1" formatCode="_ * #,##0_ ;_ * \-#,##0_ ;_ * &quot;-&quot;_ ;_ @_ "/>
    <numFmt numFmtId="176" formatCode="#,##0.00_ "/>
    <numFmt numFmtId="177" formatCode="0.00_);[Red]\(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0.00_ ;[Red]\-0.00\ "/>
  </numFmts>
  <fonts count="25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rgb="FFFFFFFF"/>
      <name val="微软雅黑"/>
      <charset val="134"/>
    </font>
    <font>
      <sz val="14"/>
      <color rgb="FFFFFFFF"/>
      <name val="微软雅黑"/>
      <charset val="134"/>
    </font>
    <font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375623"/>
        <bgColor rgb="FF375623"/>
      </patternFill>
    </fill>
    <fill>
      <patternFill patternType="solid">
        <fgColor rgb="FF70AD47"/>
        <bgColor rgb="FF70AD47"/>
      </patternFill>
    </fill>
    <fill>
      <patternFill patternType="solid">
        <fgColor rgb="FF6B3F3F"/>
        <bgColor rgb="FF6B3F3F"/>
      </patternFill>
    </fill>
    <fill>
      <patternFill patternType="solid">
        <fgColor rgb="FFC5504F"/>
        <bgColor rgb="FFC5504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9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4" fillId="41" borderId="13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1" fillId="27" borderId="13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6" fillId="21" borderId="10" applyNumberFormat="0" applyAlignment="0" applyProtection="0">
      <alignment vertical="center"/>
    </xf>
    <xf numFmtId="0" fontId="20" fillId="27" borderId="12" applyNumberForma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</cellStyleXfs>
  <cellXfs count="82">
    <xf numFmtId="0" fontId="0" fillId="0" borderId="0" xfId="0"/>
    <xf numFmtId="178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10" fontId="2" fillId="9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center" wrapText="1"/>
    </xf>
    <xf numFmtId="176" fontId="1" fillId="0" borderId="0" xfId="0" applyNumberFormat="1" applyFont="1" applyAlignment="1">
      <alignment horizontal="left" vertical="center" wrapText="1"/>
    </xf>
    <xf numFmtId="177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4" fontId="1" fillId="0" borderId="0" xfId="0" applyNumberFormat="1" applyFont="1" applyAlignment="1">
      <alignment horizontal="right" vertical="center" wrapText="1"/>
    </xf>
    <xf numFmtId="178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left" vertical="center" wrapText="1"/>
    </xf>
    <xf numFmtId="177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10" fontId="4" fillId="10" borderId="1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10" fontId="4" fillId="11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0" fontId="2" fillId="7" borderId="1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left" vertical="center" wrapText="1"/>
    </xf>
    <xf numFmtId="1" fontId="5" fillId="0" borderId="0" xfId="0" applyNumberFormat="1" applyFont="1" applyAlignment="1">
      <alignment horizontal="left" vertical="center" wrapText="1"/>
    </xf>
    <xf numFmtId="177" fontId="5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5">
    <dxf>
      <font>
        <name val="宋体"/>
        <scheme val="none"/>
        <charset val="134"/>
        <strike val="0"/>
        <sz val="11"/>
        <color theme="1"/>
      </font>
      <numFmt numFmtId="177" formatCode="0.00_);[Red]\(0.00\)"/>
    </dxf>
    <dxf>
      <font>
        <name val="宋体"/>
        <scheme val="none"/>
        <charset val="134"/>
        <strike val="0"/>
        <sz val="11"/>
        <color theme="1"/>
      </font>
    </dxf>
    <dxf>
      <font>
        <name val="宋体"/>
        <scheme val="none"/>
        <charset val="134"/>
        <strike val="0"/>
        <sz val="11"/>
        <color theme="1"/>
      </font>
    </dxf>
    <dxf>
      <alignment horizontal="left"/>
    </dxf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成本明细" displayName="成本明细" ref="A6:C45" totalsRowShown="0">
  <autoFilter ref="A6:C45"/>
  <tableColumns count="3">
    <tableColumn id="1" name="金额(元)" dataDxfId="0"/>
    <tableColumn id="2" name="分类" dataDxfId="1"/>
    <tableColumn id="3" name="说明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收入明细2602" displayName="收入明细2602" ref="A32:C37" totalsRowShown="0">
  <autoFilter ref="A32:C37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支出明细2602" displayName="支出明细2602" ref="A40:C60" totalsRowShown="0">
  <autoFilter ref="A40:C60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支出明细2603" displayName="支出明细2603" ref="A41:C106">
  <autoFilter ref="A41:C106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收入明细2603" displayName="收入明细2603" ref="A32:C38">
  <autoFilter ref="A32:C38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支出明细2604" displayName="支出明细2604" ref="A43:C70">
  <autoFilter ref="A43:C70"/>
  <tableColumns count="3">
    <tableColumn id="1" name="支出明细" dataDxfId="3"/>
    <tableColumn id="2" name="分类"/>
    <tableColumn id="3" name="说明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收入明细2604" displayName="收入明细2604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支出明细26049" displayName="支出明细26049" ref="A43:C70">
  <autoFilter ref="A43:C70"/>
  <tableColumns count="3">
    <tableColumn id="1" name="支出明细" dataDxfId="4"/>
    <tableColumn id="2" name="分类"/>
    <tableColumn id="3" name="说明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收入明细260410" displayName="收入明细260410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支出明细26049_11" displayName="支出明细26049_11" ref="A43:C76">
  <autoFilter ref="A43:C76">
    <filterColumn colId="1">
      <customFilters>
        <customFilter operator="equal" val="食材"/>
      </customFilters>
    </filterColumn>
  </autoFilter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收入明细260410_12" displayName="收入明细260410_12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8" name="支出明细26049_1119" displayName="支出明细26049_1119" ref="A43:C66">
  <autoFilter ref="A43:C66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9" name="收入明细260410_1220" displayName="收入明细260410_1220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2" name="收入明细260410_122013" displayName="收入明细260410_122013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3" name="支出明细26049_111914" displayName="支出明细26049_111914" ref="A43:C61">
  <autoFilter ref="A43:C61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4" name="收入明细260410_12201315" displayName="收入明细260410_12201315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5" name="支出明细26049_11191416" displayName="支出明细26049_11191416" ref="A43:C62">
  <autoFilter ref="A43:C62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6" name="收入明细260410_1220131517" displayName="收入明细260410_1220131517" ref="A33:C40">
  <autoFilter ref="A33:C40"/>
  <tableColumns count="3">
    <tableColumn id="1" name="收入明细"/>
    <tableColumn id="2" name="分类"/>
    <tableColumn id="3" name="说明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7" name="支出明细26049_1119141618" displayName="支出明细26049_1119141618" ref="A43:C52">
  <autoFilter ref="A43:C52"/>
  <tableColumns count="3">
    <tableColumn id="1" name="支出明细"/>
    <tableColumn id="2" name="分类"/>
    <tableColumn id="3" name="说明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45"/>
  <sheetViews>
    <sheetView workbookViewId="0">
      <selection activeCell="B2" sqref="B2"/>
    </sheetView>
  </sheetViews>
  <sheetFormatPr defaultColWidth="30.625" defaultRowHeight="25.15" customHeight="1" outlineLevelCol="2"/>
  <cols>
    <col min="1" max="1" width="30.625" style="77" customWidth="1"/>
    <col min="2" max="2" width="30.625" style="78" customWidth="1"/>
    <col min="3" max="3" width="30.625" style="79" customWidth="1"/>
    <col min="4" max="4" width="30.625" style="78" customWidth="1"/>
    <col min="5" max="16384" width="30.625" style="78"/>
  </cols>
  <sheetData>
    <row r="1" customHeight="1" spans="1:3">
      <c r="A1" s="77" t="s">
        <v>0</v>
      </c>
      <c r="B1" s="80">
        <v>100000</v>
      </c>
      <c r="C1" s="78"/>
    </row>
    <row r="2" customHeight="1" spans="1:3">
      <c r="A2" s="77" t="s">
        <v>1</v>
      </c>
      <c r="B2" s="79">
        <f>SUM(成本明细[金额(元)])</f>
        <v>101248.03</v>
      </c>
      <c r="C2" s="78"/>
    </row>
    <row r="3" customHeight="1" spans="1:3">
      <c r="A3" s="77" t="s">
        <v>2</v>
      </c>
      <c r="B3" s="79">
        <f>B1-B2</f>
        <v>-1248.03000000001</v>
      </c>
      <c r="C3" s="78"/>
    </row>
    <row r="6" customHeight="1" spans="1:3">
      <c r="A6" s="77" t="s">
        <v>3</v>
      </c>
      <c r="B6" s="78" t="s">
        <v>4</v>
      </c>
      <c r="C6" s="79" t="s">
        <v>5</v>
      </c>
    </row>
    <row r="7" customHeight="1" spans="1:3">
      <c r="A7" s="81">
        <v>10000</v>
      </c>
      <c r="B7" s="78" t="s">
        <v>6</v>
      </c>
      <c r="C7" s="79" t="s">
        <v>7</v>
      </c>
    </row>
    <row r="8" customHeight="1" spans="1:3">
      <c r="A8" s="81">
        <v>26000</v>
      </c>
      <c r="B8" s="78" t="s">
        <v>6</v>
      </c>
      <c r="C8" s="79" t="s">
        <v>8</v>
      </c>
    </row>
    <row r="9" customHeight="1" spans="1:3">
      <c r="A9" s="81">
        <v>6000</v>
      </c>
      <c r="B9" s="78" t="s">
        <v>9</v>
      </c>
      <c r="C9" s="79" t="s">
        <v>10</v>
      </c>
    </row>
    <row r="10" customHeight="1" spans="1:3">
      <c r="A10" s="81">
        <v>3000</v>
      </c>
      <c r="B10" s="78" t="s">
        <v>9</v>
      </c>
      <c r="C10" s="79" t="s">
        <v>11</v>
      </c>
    </row>
    <row r="11" customHeight="1" spans="1:3">
      <c r="A11" s="81">
        <v>2100</v>
      </c>
      <c r="B11" s="78" t="s">
        <v>9</v>
      </c>
      <c r="C11" s="79" t="s">
        <v>12</v>
      </c>
    </row>
    <row r="12" customHeight="1" spans="1:3">
      <c r="A12" s="81">
        <v>340</v>
      </c>
      <c r="B12" s="78" t="s">
        <v>9</v>
      </c>
      <c r="C12" s="79" t="s">
        <v>13</v>
      </c>
    </row>
    <row r="13" customHeight="1" spans="1:3">
      <c r="A13" s="81">
        <v>200</v>
      </c>
      <c r="B13" s="78" t="s">
        <v>14</v>
      </c>
      <c r="C13" s="79" t="s">
        <v>15</v>
      </c>
    </row>
    <row r="14" customHeight="1" spans="1:3">
      <c r="A14" s="81">
        <v>11000</v>
      </c>
      <c r="B14" s="78" t="s">
        <v>16</v>
      </c>
      <c r="C14" s="79" t="s">
        <v>17</v>
      </c>
    </row>
    <row r="15" customHeight="1" spans="1:3">
      <c r="A15" s="81">
        <v>5000</v>
      </c>
      <c r="B15" s="78" t="s">
        <v>9</v>
      </c>
      <c r="C15" s="79" t="s">
        <v>18</v>
      </c>
    </row>
    <row r="16" customHeight="1" spans="1:3">
      <c r="A16" s="81">
        <v>755</v>
      </c>
      <c r="B16" s="78" t="s">
        <v>16</v>
      </c>
      <c r="C16" s="79" t="s">
        <v>19</v>
      </c>
    </row>
    <row r="17" customHeight="1" spans="1:3">
      <c r="A17" s="81">
        <v>190</v>
      </c>
      <c r="B17" s="78" t="s">
        <v>9</v>
      </c>
      <c r="C17" s="79" t="s">
        <v>20</v>
      </c>
    </row>
    <row r="18" customHeight="1" spans="1:3">
      <c r="A18" s="81">
        <v>405.9</v>
      </c>
      <c r="B18" s="78" t="s">
        <v>16</v>
      </c>
      <c r="C18" s="79" t="s">
        <v>21</v>
      </c>
    </row>
    <row r="19" customHeight="1" spans="1:3">
      <c r="A19" s="81">
        <v>228</v>
      </c>
      <c r="B19" s="78" t="s">
        <v>16</v>
      </c>
      <c r="C19" s="79" t="s">
        <v>22</v>
      </c>
    </row>
    <row r="20" customHeight="1" spans="1:3">
      <c r="A20" s="81">
        <v>639.5</v>
      </c>
      <c r="B20" s="78" t="s">
        <v>16</v>
      </c>
      <c r="C20" s="79" t="s">
        <v>23</v>
      </c>
    </row>
    <row r="21" customHeight="1" spans="1:3">
      <c r="A21" s="81">
        <v>1259.1</v>
      </c>
      <c r="B21" s="78" t="s">
        <v>16</v>
      </c>
      <c r="C21" s="79" t="s">
        <v>24</v>
      </c>
    </row>
    <row r="22" customHeight="1" spans="1:3">
      <c r="A22" s="81">
        <v>1000</v>
      </c>
      <c r="B22" s="78" t="s">
        <v>25</v>
      </c>
      <c r="C22" s="79" t="s">
        <v>26</v>
      </c>
    </row>
    <row r="23" customHeight="1" spans="1:3">
      <c r="A23" s="81">
        <v>13260</v>
      </c>
      <c r="B23" s="78" t="s">
        <v>25</v>
      </c>
      <c r="C23" s="79" t="s">
        <v>27</v>
      </c>
    </row>
    <row r="24" customHeight="1" spans="1:3">
      <c r="A24" s="81">
        <v>47.97</v>
      </c>
      <c r="B24" s="78" t="s">
        <v>14</v>
      </c>
      <c r="C24" s="79" t="s">
        <v>28</v>
      </c>
    </row>
    <row r="25" customHeight="1" spans="1:3">
      <c r="A25" s="81">
        <v>276.1</v>
      </c>
      <c r="B25" s="78" t="s">
        <v>14</v>
      </c>
      <c r="C25" s="79" t="s">
        <v>29</v>
      </c>
    </row>
    <row r="26" customHeight="1" spans="1:3">
      <c r="A26" s="81">
        <v>6000</v>
      </c>
      <c r="B26" s="78" t="s">
        <v>9</v>
      </c>
      <c r="C26" s="79" t="s">
        <v>30</v>
      </c>
    </row>
    <row r="27" customHeight="1" spans="1:3">
      <c r="A27" s="81">
        <v>640</v>
      </c>
      <c r="B27" s="78" t="s">
        <v>9</v>
      </c>
      <c r="C27" s="79" t="s">
        <v>31</v>
      </c>
    </row>
    <row r="28" customHeight="1" spans="1:3">
      <c r="A28" s="81">
        <v>500</v>
      </c>
      <c r="B28" s="78" t="s">
        <v>32</v>
      </c>
      <c r="C28" s="79" t="s">
        <v>33</v>
      </c>
    </row>
    <row r="29" customHeight="1" spans="1:3">
      <c r="A29" s="81">
        <v>600</v>
      </c>
      <c r="B29" s="78" t="s">
        <v>32</v>
      </c>
      <c r="C29" s="79" t="s">
        <v>34</v>
      </c>
    </row>
    <row r="30" customHeight="1" spans="1:3">
      <c r="A30" s="81">
        <v>938</v>
      </c>
      <c r="B30" s="78" t="s">
        <v>25</v>
      </c>
      <c r="C30" s="79" t="s">
        <v>35</v>
      </c>
    </row>
    <row r="31" customHeight="1" spans="1:3">
      <c r="A31" s="81">
        <v>1000</v>
      </c>
      <c r="B31" s="78" t="s">
        <v>25</v>
      </c>
      <c r="C31" s="79" t="s">
        <v>26</v>
      </c>
    </row>
    <row r="32" customHeight="1" spans="1:3">
      <c r="A32" s="81">
        <v>60.5</v>
      </c>
      <c r="B32" s="78" t="s">
        <v>25</v>
      </c>
      <c r="C32" s="79" t="s">
        <v>36</v>
      </c>
    </row>
    <row r="33" customHeight="1" spans="1:3">
      <c r="A33" s="81">
        <v>162.41</v>
      </c>
      <c r="B33" s="78" t="s">
        <v>37</v>
      </c>
      <c r="C33" s="79" t="s">
        <v>38</v>
      </c>
    </row>
    <row r="34" customHeight="1" spans="1:3">
      <c r="A34" s="81">
        <v>42.16</v>
      </c>
      <c r="B34" s="78" t="s">
        <v>25</v>
      </c>
      <c r="C34" s="79" t="s">
        <v>35</v>
      </c>
    </row>
    <row r="35" customHeight="1" spans="1:3">
      <c r="A35" s="81">
        <v>1000</v>
      </c>
      <c r="B35" s="78" t="s">
        <v>25</v>
      </c>
      <c r="C35" s="79" t="s">
        <v>26</v>
      </c>
    </row>
    <row r="36" customHeight="1" spans="1:3">
      <c r="A36" s="81">
        <v>500</v>
      </c>
      <c r="B36" s="78" t="s">
        <v>9</v>
      </c>
      <c r="C36" s="79" t="s">
        <v>39</v>
      </c>
    </row>
    <row r="37" customHeight="1" spans="1:3">
      <c r="A37" s="81">
        <v>1300</v>
      </c>
      <c r="B37" s="78" t="s">
        <v>25</v>
      </c>
      <c r="C37" s="79" t="s">
        <v>40</v>
      </c>
    </row>
    <row r="38" customHeight="1" spans="1:3">
      <c r="A38" s="81">
        <v>253.84</v>
      </c>
      <c r="B38" s="78" t="s">
        <v>25</v>
      </c>
      <c r="C38" s="79" t="s">
        <v>36</v>
      </c>
    </row>
    <row r="39" customHeight="1" spans="1:3">
      <c r="A39" s="81">
        <v>1000</v>
      </c>
      <c r="B39" s="78" t="s">
        <v>25</v>
      </c>
      <c r="C39" s="79" t="s">
        <v>26</v>
      </c>
    </row>
    <row r="40" customHeight="1" spans="1:3">
      <c r="A40" s="81">
        <v>355.3</v>
      </c>
      <c r="B40" s="78" t="s">
        <v>25</v>
      </c>
      <c r="C40" s="79" t="s">
        <v>36</v>
      </c>
    </row>
    <row r="41" customHeight="1" spans="1:3">
      <c r="A41" s="81">
        <v>3000</v>
      </c>
      <c r="B41" s="78" t="s">
        <v>25</v>
      </c>
      <c r="C41" s="79" t="s">
        <v>41</v>
      </c>
    </row>
    <row r="42" customHeight="1" spans="1:3">
      <c r="A42" s="81">
        <v>174</v>
      </c>
      <c r="B42" s="78" t="s">
        <v>25</v>
      </c>
      <c r="C42" s="79" t="s">
        <v>36</v>
      </c>
    </row>
    <row r="43" customHeight="1" spans="1:3">
      <c r="A43" s="81">
        <v>33.6</v>
      </c>
      <c r="B43" s="78" t="s">
        <v>14</v>
      </c>
      <c r="C43" s="79" t="s">
        <v>42</v>
      </c>
    </row>
    <row r="44" customHeight="1" spans="1:3">
      <c r="A44" s="81">
        <v>500</v>
      </c>
      <c r="B44" s="78" t="s">
        <v>25</v>
      </c>
      <c r="C44" s="79" t="s">
        <v>26</v>
      </c>
    </row>
    <row r="45" customHeight="1" spans="1:3">
      <c r="A45" s="81">
        <v>1486.65</v>
      </c>
      <c r="B45" s="81" t="s">
        <v>16</v>
      </c>
      <c r="C45" s="81" t="s">
        <v>43</v>
      </c>
    </row>
  </sheetData>
  <dataValidations count="2">
    <dataValidation type="list" allowBlank="1" showInputMessage="1" showErrorMessage="1" sqref="F16:F17">
      <formula1>"房租，装修，其他，设备，食材，推广，水电"</formula1>
    </dataValidation>
    <dataValidation type="list" allowBlank="1" showInputMessage="1" showErrorMessage="1" sqref="F5 B44 B45 B7:B43 F6:F15">
      <formula1>"房租,装修,其他,设备,食材,推广,水电"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D60"/>
  <sheetViews>
    <sheetView workbookViewId="0">
      <selection activeCell="B6" sqref="B6"/>
    </sheetView>
  </sheetViews>
  <sheetFormatPr defaultColWidth="30.625" defaultRowHeight="25.15" customHeight="1" outlineLevelCol="3"/>
  <cols>
    <col min="1" max="2" width="30.625" style="47" customWidth="1"/>
    <col min="3" max="3" width="30.625" style="48" customWidth="1"/>
    <col min="4" max="4" width="30.625" style="47" customWidth="1"/>
    <col min="5" max="16384" width="30.625" style="47"/>
  </cols>
  <sheetData>
    <row r="1" s="4" customFormat="1" customHeight="1" spans="1:3">
      <c r="A1" s="49" t="s">
        <v>44</v>
      </c>
      <c r="C1" s="32"/>
    </row>
    <row r="2" customHeight="1" spans="1:3">
      <c r="A2" s="50" t="s">
        <v>45</v>
      </c>
      <c r="B2" s="50" t="s">
        <v>46</v>
      </c>
      <c r="C2" s="51" t="s">
        <v>47</v>
      </c>
    </row>
    <row r="3" customHeight="1" spans="1:3">
      <c r="A3" s="52" t="s">
        <v>48</v>
      </c>
      <c r="B3" s="53">
        <f>SUM(收入明细2602[收入明细])</f>
        <v>42435.74</v>
      </c>
      <c r="C3" s="52" t="s">
        <v>49</v>
      </c>
    </row>
    <row r="4" customHeight="1" spans="1:3">
      <c r="A4" s="54" t="s">
        <v>50</v>
      </c>
      <c r="B4" s="55">
        <f>SUM(支出明细2602[支出明细])</f>
        <v>40327.81</v>
      </c>
      <c r="C4" s="54" t="s">
        <v>49</v>
      </c>
    </row>
    <row r="5" customHeight="1" spans="1:3">
      <c r="A5" s="56" t="s">
        <v>51</v>
      </c>
      <c r="B5" s="57">
        <f>$B$3-SUMIF(支出明细2602[分类],"食材",支出明细2602[支出明细])</f>
        <v>18551.94</v>
      </c>
      <c r="C5" s="56" t="s">
        <v>49</v>
      </c>
    </row>
    <row r="6" customHeight="1" spans="1:3">
      <c r="A6" s="56" t="s">
        <v>52</v>
      </c>
      <c r="B6" s="57">
        <f>$B$3-$B$4</f>
        <v>2107.93</v>
      </c>
      <c r="C6" s="56" t="s">
        <v>49</v>
      </c>
    </row>
    <row r="7" customHeight="1" spans="1:3">
      <c r="A7" s="56" t="s">
        <v>53</v>
      </c>
      <c r="B7" s="58">
        <f>$B$5/$B$3</f>
        <v>0.437177247292023</v>
      </c>
      <c r="C7" s="58" t="s">
        <v>54</v>
      </c>
    </row>
    <row r="8" customHeight="1" spans="1:3">
      <c r="A8" s="56" t="s">
        <v>55</v>
      </c>
      <c r="B8" s="58">
        <f>$B$6/$B$3</f>
        <v>0.0496734592115043</v>
      </c>
      <c r="C8" s="58" t="s">
        <v>54</v>
      </c>
    </row>
    <row r="11" customHeight="1" spans="1:1">
      <c r="A11" s="59" t="s">
        <v>56</v>
      </c>
    </row>
    <row r="12" customHeight="1" spans="1:3">
      <c r="A12" s="60" t="s">
        <v>57</v>
      </c>
      <c r="B12" s="60" t="s">
        <v>58</v>
      </c>
      <c r="C12" s="60" t="s">
        <v>59</v>
      </c>
    </row>
    <row r="13" customHeight="1" spans="1:3">
      <c r="A13" s="56" t="s">
        <v>60</v>
      </c>
      <c r="B13" s="57">
        <f>SUMIF(收入明细2602[分类],"淘宝外卖",收入明细2602[收入明细])</f>
        <v>19919.1</v>
      </c>
      <c r="C13" s="58">
        <f>$B$13/$B$3</f>
        <v>0.469394430260907</v>
      </c>
    </row>
    <row r="14" customHeight="1" spans="1:3">
      <c r="A14" s="61" t="s">
        <v>61</v>
      </c>
      <c r="B14" s="62">
        <f>SUMIF(收入明细2602[分类],"美团外卖",收入明细2602[收入明细])</f>
        <v>13970.88</v>
      </c>
      <c r="C14" s="63">
        <f>$B$14/$B$3</f>
        <v>0.329224375491037</v>
      </c>
    </row>
    <row r="15" customHeight="1" spans="1:3">
      <c r="A15" s="56" t="s">
        <v>62</v>
      </c>
      <c r="B15" s="57">
        <f>SUMIF(收入明细2602[分类],"微信堂食",收入明细2602[收入明细])</f>
        <v>6683.96</v>
      </c>
      <c r="C15" s="58">
        <f>$B$15/$B$3</f>
        <v>0.157507798850686</v>
      </c>
    </row>
    <row r="16" customHeight="1" spans="1:3">
      <c r="A16" s="61" t="s">
        <v>63</v>
      </c>
      <c r="B16" s="62">
        <f>SUMIF(收入明细2602[分类],"支付宝堂食",收入明细2602[收入明细])</f>
        <v>1861.8</v>
      </c>
      <c r="C16" s="63">
        <f>$B$16/$B$3</f>
        <v>0.0438733953973702</v>
      </c>
    </row>
    <row r="17" customHeight="1" spans="1:3">
      <c r="A17" s="56" t="s">
        <v>64</v>
      </c>
      <c r="B17" s="57">
        <f>SUMIF(收入明细2602[分类],"京东外卖",收入明细2602[收入明细])</f>
        <v>0</v>
      </c>
      <c r="C17" s="58">
        <f>$B$17/$B$3</f>
        <v>0</v>
      </c>
    </row>
    <row r="18" customHeight="1" spans="1:3">
      <c r="A18" s="64" t="s">
        <v>65</v>
      </c>
      <c r="B18" s="65">
        <f>SUM(收入明细2602[收入明细])</f>
        <v>42435.74</v>
      </c>
      <c r="C18" s="66">
        <f>SUM($C$13:$C$17)</f>
        <v>1</v>
      </c>
    </row>
    <row r="21" customHeight="1" spans="1:1">
      <c r="A21" s="67" t="s">
        <v>66</v>
      </c>
    </row>
    <row r="22" customHeight="1" spans="1:3">
      <c r="A22" s="68" t="s">
        <v>67</v>
      </c>
      <c r="B22" s="68" t="s">
        <v>58</v>
      </c>
      <c r="C22" s="68" t="s">
        <v>59</v>
      </c>
    </row>
    <row r="23" customHeight="1" spans="1:3">
      <c r="A23" s="61" t="s">
        <v>25</v>
      </c>
      <c r="B23" s="62">
        <f>SUMIF(支出明细2602[分类],"食材",支出明细2602[支出明细])</f>
        <v>23883.8</v>
      </c>
      <c r="C23" s="63">
        <f>$B$23/$B$4</f>
        <v>0.592241433392986</v>
      </c>
    </row>
    <row r="24" customHeight="1" spans="1:3">
      <c r="A24" s="56" t="s">
        <v>68</v>
      </c>
      <c r="B24" s="57">
        <f>SUMIF(支出明细2602[分类],"工资",支出明细2602[支出明细])</f>
        <v>8500</v>
      </c>
      <c r="C24" s="58">
        <f>$B$24/$B$4</f>
        <v>0.210772665314581</v>
      </c>
    </row>
    <row r="25" customHeight="1" spans="1:3">
      <c r="A25" s="61" t="s">
        <v>6</v>
      </c>
      <c r="B25" s="62">
        <f>SUMIF(支出明细2602[分类],"房租",支出明细2602[支出明细])</f>
        <v>4333</v>
      </c>
      <c r="C25" s="63">
        <f>$B$25/$B$4</f>
        <v>0.107444465742127</v>
      </c>
    </row>
    <row r="26" customHeight="1" spans="1:3">
      <c r="A26" s="56" t="s">
        <v>32</v>
      </c>
      <c r="B26" s="57">
        <f>SUMIF(支出明细2602[分类],"推广",支出明细2602[支出明细])</f>
        <v>600</v>
      </c>
      <c r="C26" s="58">
        <f>$B$26/$B$4</f>
        <v>0.0148780704927939</v>
      </c>
    </row>
    <row r="27" customHeight="1" spans="1:3">
      <c r="A27" s="61" t="s">
        <v>37</v>
      </c>
      <c r="B27" s="62">
        <f>SUMIF(支出明细2602[分类],"水电",支出明细2602[支出明细])</f>
        <v>2977.41</v>
      </c>
      <c r="C27" s="63">
        <f>$B$27/$B$4</f>
        <v>0.073830193109916</v>
      </c>
    </row>
    <row r="28" customHeight="1" spans="1:3">
      <c r="A28" s="56" t="s">
        <v>14</v>
      </c>
      <c r="B28" s="57">
        <f>SUMIF(支出明细2602[分类],"其他",支出明细2602[支出明细])</f>
        <v>33.6</v>
      </c>
      <c r="C28" s="58">
        <f>$B$28/$B$4</f>
        <v>0.00083317194759646</v>
      </c>
    </row>
    <row r="29" customHeight="1" spans="1:3">
      <c r="A29" s="69" t="s">
        <v>65</v>
      </c>
      <c r="B29" s="70">
        <f>SUM(支出明细2602[支出明细])</f>
        <v>40327.81</v>
      </c>
      <c r="C29" s="71">
        <f>SUM($C$23:$C$28)</f>
        <v>1</v>
      </c>
    </row>
    <row r="32" customHeight="1" spans="1:3">
      <c r="A32" s="72" t="s">
        <v>69</v>
      </c>
      <c r="B32" s="47" t="s">
        <v>4</v>
      </c>
      <c r="C32" s="73" t="s">
        <v>5</v>
      </c>
    </row>
    <row r="33" customHeight="1" spans="1:3">
      <c r="A33" s="74">
        <v>6683.96</v>
      </c>
      <c r="B33" s="47" t="s">
        <v>62</v>
      </c>
      <c r="C33" s="75"/>
    </row>
    <row r="34" customHeight="1" spans="1:3">
      <c r="A34" s="74">
        <v>1861.8</v>
      </c>
      <c r="B34" s="47" t="s">
        <v>63</v>
      </c>
      <c r="C34" s="75"/>
    </row>
    <row r="35" customHeight="1" spans="1:3">
      <c r="A35" s="74">
        <v>0</v>
      </c>
      <c r="B35" s="47" t="s">
        <v>64</v>
      </c>
      <c r="C35" s="75" t="s">
        <v>70</v>
      </c>
    </row>
    <row r="36" customHeight="1" spans="1:3">
      <c r="A36" s="74">
        <v>19919.1</v>
      </c>
      <c r="B36" s="47" t="s">
        <v>60</v>
      </c>
      <c r="C36" s="75"/>
    </row>
    <row r="37" customHeight="1" spans="1:3">
      <c r="A37" s="74">
        <v>13970.88</v>
      </c>
      <c r="B37" s="47" t="s">
        <v>61</v>
      </c>
      <c r="C37" s="75"/>
    </row>
    <row r="40" customHeight="1" spans="1:4">
      <c r="A40" s="76" t="s">
        <v>71</v>
      </c>
      <c r="B40" s="73" t="s">
        <v>4</v>
      </c>
      <c r="C40" s="75" t="s">
        <v>5</v>
      </c>
      <c r="D40" s="4"/>
    </row>
    <row r="41" customHeight="1" spans="1:4">
      <c r="A41" s="76">
        <v>4333</v>
      </c>
      <c r="B41" s="73" t="s">
        <v>6</v>
      </c>
      <c r="C41" s="75" t="s">
        <v>72</v>
      </c>
      <c r="D41" s="4"/>
    </row>
    <row r="42" customHeight="1" spans="1:4">
      <c r="A42" s="76">
        <v>8500</v>
      </c>
      <c r="B42" s="73" t="s">
        <v>68</v>
      </c>
      <c r="C42" s="75" t="s">
        <v>73</v>
      </c>
      <c r="D42" s="4"/>
    </row>
    <row r="43" customHeight="1" spans="1:4">
      <c r="A43" s="76">
        <v>1000</v>
      </c>
      <c r="B43" s="73" t="s">
        <v>25</v>
      </c>
      <c r="C43" s="75" t="s">
        <v>26</v>
      </c>
      <c r="D43" s="4"/>
    </row>
    <row r="44" customHeight="1" spans="1:4">
      <c r="A44" s="76">
        <v>13260</v>
      </c>
      <c r="B44" s="73" t="s">
        <v>25</v>
      </c>
      <c r="C44" s="75" t="s">
        <v>27</v>
      </c>
      <c r="D44" s="4"/>
    </row>
    <row r="45" customHeight="1" spans="1:4">
      <c r="A45" s="76">
        <v>600</v>
      </c>
      <c r="B45" s="73" t="s">
        <v>32</v>
      </c>
      <c r="C45" s="75" t="s">
        <v>34</v>
      </c>
      <c r="D45" s="4"/>
    </row>
    <row r="46" customHeight="1" spans="1:4">
      <c r="A46" s="76">
        <v>938</v>
      </c>
      <c r="B46" s="73" t="s">
        <v>25</v>
      </c>
      <c r="C46" s="75" t="s">
        <v>35</v>
      </c>
      <c r="D46" s="4"/>
    </row>
    <row r="47" customHeight="1" spans="1:4">
      <c r="A47" s="76">
        <v>1000</v>
      </c>
      <c r="B47" s="73" t="s">
        <v>25</v>
      </c>
      <c r="C47" s="75" t="s">
        <v>26</v>
      </c>
      <c r="D47" s="4"/>
    </row>
    <row r="48" customHeight="1" spans="1:4">
      <c r="A48" s="76">
        <v>60.5</v>
      </c>
      <c r="B48" s="73" t="s">
        <v>25</v>
      </c>
      <c r="C48" s="75" t="s">
        <v>36</v>
      </c>
      <c r="D48" s="4"/>
    </row>
    <row r="49" customHeight="1" spans="1:4">
      <c r="A49" s="76">
        <v>162.41</v>
      </c>
      <c r="B49" s="73" t="s">
        <v>37</v>
      </c>
      <c r="C49" s="75" t="s">
        <v>74</v>
      </c>
      <c r="D49" s="4"/>
    </row>
    <row r="50" customHeight="1" spans="1:4">
      <c r="A50" s="76">
        <v>2815</v>
      </c>
      <c r="B50" s="73" t="s">
        <v>37</v>
      </c>
      <c r="C50" s="75" t="s">
        <v>75</v>
      </c>
      <c r="D50" s="4"/>
    </row>
    <row r="51" customHeight="1" spans="1:4">
      <c r="A51" s="76">
        <v>42.16</v>
      </c>
      <c r="B51" s="73" t="s">
        <v>25</v>
      </c>
      <c r="C51" s="75" t="s">
        <v>35</v>
      </c>
      <c r="D51" s="4"/>
    </row>
    <row r="52" customHeight="1" spans="1:4">
      <c r="A52" s="76">
        <v>1000</v>
      </c>
      <c r="B52" s="73" t="s">
        <v>25</v>
      </c>
      <c r="C52" s="75" t="s">
        <v>26</v>
      </c>
      <c r="D52" s="4"/>
    </row>
    <row r="53" customHeight="1" spans="1:4">
      <c r="A53" s="76">
        <v>1300</v>
      </c>
      <c r="B53" s="73" t="s">
        <v>25</v>
      </c>
      <c r="C53" s="75" t="s">
        <v>76</v>
      </c>
      <c r="D53" s="4"/>
    </row>
    <row r="54" customHeight="1" spans="1:4">
      <c r="A54" s="76">
        <v>253.84</v>
      </c>
      <c r="B54" s="73" t="s">
        <v>25</v>
      </c>
      <c r="C54" s="75" t="s">
        <v>36</v>
      </c>
      <c r="D54" s="4"/>
    </row>
    <row r="55" customHeight="1" spans="1:4">
      <c r="A55" s="76">
        <v>1000</v>
      </c>
      <c r="B55" s="73" t="s">
        <v>25</v>
      </c>
      <c r="C55" s="75" t="s">
        <v>26</v>
      </c>
      <c r="D55" s="4"/>
    </row>
    <row r="56" customHeight="1" spans="1:4">
      <c r="A56" s="76">
        <v>355.3</v>
      </c>
      <c r="B56" s="73" t="s">
        <v>25</v>
      </c>
      <c r="C56" s="75" t="s">
        <v>36</v>
      </c>
      <c r="D56" s="4"/>
    </row>
    <row r="57" customHeight="1" spans="1:4">
      <c r="A57" s="76">
        <v>3000</v>
      </c>
      <c r="B57" s="73" t="s">
        <v>25</v>
      </c>
      <c r="C57" s="75" t="s">
        <v>41</v>
      </c>
      <c r="D57" s="4"/>
    </row>
    <row r="58" customHeight="1" spans="1:4">
      <c r="A58" s="76">
        <v>174</v>
      </c>
      <c r="B58" s="73" t="s">
        <v>25</v>
      </c>
      <c r="C58" s="75" t="s">
        <v>36</v>
      </c>
      <c r="D58" s="4"/>
    </row>
    <row r="59" customHeight="1" spans="1:4">
      <c r="A59" s="76">
        <v>33.6</v>
      </c>
      <c r="B59" s="73" t="s">
        <v>14</v>
      </c>
      <c r="C59" s="75" t="s">
        <v>42</v>
      </c>
      <c r="D59" s="4"/>
    </row>
    <row r="60" customHeight="1" spans="1:4">
      <c r="A60" s="76">
        <v>500</v>
      </c>
      <c r="B60" s="73" t="s">
        <v>25</v>
      </c>
      <c r="C60" s="75" t="s">
        <v>26</v>
      </c>
      <c r="D60" s="4"/>
    </row>
  </sheetData>
  <mergeCells count="3">
    <mergeCell ref="A1:C1"/>
    <mergeCell ref="A11:C11"/>
    <mergeCell ref="A21:C21"/>
  </mergeCells>
  <dataValidations count="2">
    <dataValidation type="list" allowBlank="1" showInputMessage="1" showErrorMessage="1" sqref="B56:B60">
      <formula1>"房租,装修,其他,设备,食材,推广,水电"</formula1>
    </dataValidation>
    <dataValidation type="list" allowBlank="1" showInputMessage="1" showErrorMessage="1" sqref="B50 B41:B49 B51:B55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106"/>
  <sheetViews>
    <sheetView topLeftCell="A3" workbookViewId="0">
      <selection activeCell="D22" sqref="D22"/>
    </sheetView>
  </sheetViews>
  <sheetFormatPr defaultColWidth="30.625" defaultRowHeight="25.15" customHeight="1" outlineLevelCol="2"/>
  <cols>
    <col min="1" max="1" width="30.625" style="2" customWidth="1"/>
    <col min="2" max="16384" width="30.625" style="2"/>
  </cols>
  <sheetData>
    <row r="1" customHeight="1" spans="1:3">
      <c r="A1" s="39" t="s">
        <v>44</v>
      </c>
      <c r="B1" s="4"/>
      <c r="C1" s="4"/>
    </row>
    <row r="2" customHeight="1" spans="1:3">
      <c r="A2" s="6" t="s">
        <v>45</v>
      </c>
      <c r="B2" s="6" t="s">
        <v>46</v>
      </c>
      <c r="C2" s="6" t="s">
        <v>47</v>
      </c>
    </row>
    <row r="3" customHeight="1" spans="1:3">
      <c r="A3" s="9" t="s">
        <v>48</v>
      </c>
      <c r="B3" s="8">
        <f>SUM(收入明细2603[收入明细])</f>
        <v>73829.05</v>
      </c>
      <c r="C3" s="9" t="s">
        <v>49</v>
      </c>
    </row>
    <row r="4" customHeight="1" spans="1:3">
      <c r="A4" s="12" t="s">
        <v>50</v>
      </c>
      <c r="B4" s="11">
        <f>SUM(支出明细2603[支出明细])</f>
        <v>68152.7</v>
      </c>
      <c r="C4" s="12" t="s">
        <v>49</v>
      </c>
    </row>
    <row r="5" customHeight="1" spans="1:3">
      <c r="A5" s="15" t="s">
        <v>51</v>
      </c>
      <c r="B5" s="14">
        <f>$B$3-SUMIF(支出明细2603[分类],"食材",支出明细2603[支出明细])</f>
        <v>30354.24</v>
      </c>
      <c r="C5" s="15" t="s">
        <v>49</v>
      </c>
    </row>
    <row r="6" customHeight="1" spans="1:3">
      <c r="A6" s="15" t="s">
        <v>52</v>
      </c>
      <c r="B6" s="14">
        <f>$B$3-$B$4</f>
        <v>5676.34999999999</v>
      </c>
      <c r="C6" s="15" t="s">
        <v>49</v>
      </c>
    </row>
    <row r="7" customHeight="1" spans="1:3">
      <c r="A7" s="15" t="s">
        <v>53</v>
      </c>
      <c r="B7" s="16">
        <f>$B$5/$B$3</f>
        <v>0.41114222653549</v>
      </c>
      <c r="C7" s="15" t="s">
        <v>54</v>
      </c>
    </row>
    <row r="8" customHeight="1" spans="1:3">
      <c r="A8" s="15" t="s">
        <v>55</v>
      </c>
      <c r="B8" s="16">
        <f>$B$6/$B$3</f>
        <v>0.0768850472815239</v>
      </c>
      <c r="C8" s="15" t="s">
        <v>54</v>
      </c>
    </row>
    <row r="9" customHeight="1" spans="1:3">
      <c r="A9" s="4"/>
      <c r="B9" s="4"/>
      <c r="C9" s="4"/>
    </row>
    <row r="11" customHeight="1" spans="1:3">
      <c r="A11" s="41" t="s">
        <v>56</v>
      </c>
      <c r="B11" s="4"/>
      <c r="C11" s="4"/>
    </row>
    <row r="12" customHeight="1" spans="1:3">
      <c r="A12" s="19" t="s">
        <v>57</v>
      </c>
      <c r="B12" s="19" t="s">
        <v>58</v>
      </c>
      <c r="C12" s="19" t="s">
        <v>59</v>
      </c>
    </row>
    <row r="13" customHeight="1" spans="1:3">
      <c r="A13" s="15" t="s">
        <v>60</v>
      </c>
      <c r="B13" s="14">
        <f>SUMIF(收入明细2603[分类],"淘宝外卖",收入明细2603[收入明细])</f>
        <v>28180.51</v>
      </c>
      <c r="C13" s="16">
        <f>$B$13/$B$3</f>
        <v>0.381699480082705</v>
      </c>
    </row>
    <row r="14" customHeight="1" spans="1:3">
      <c r="A14" s="15" t="s">
        <v>61</v>
      </c>
      <c r="B14" s="14">
        <f>SUMIF(收入明细2603[分类],"美团外卖",收入明细2603[收入明细])</f>
        <v>24949.9</v>
      </c>
      <c r="C14" s="16">
        <f>$B$14/$B$3</f>
        <v>0.337941501346692</v>
      </c>
    </row>
    <row r="15" customHeight="1" spans="1:3">
      <c r="A15" s="15" t="s">
        <v>62</v>
      </c>
      <c r="B15" s="14">
        <f>SUMIF(收入明细2603[分类],"微信堂食",收入明细2603[收入明细])</f>
        <v>8847.66</v>
      </c>
      <c r="C15" s="16">
        <f>$B$15/$B$3</f>
        <v>0.119839819149779</v>
      </c>
    </row>
    <row r="16" customHeight="1" spans="1:3">
      <c r="A16" s="15" t="s">
        <v>63</v>
      </c>
      <c r="B16" s="14">
        <f>SUMIF(收入明细2603[分类],"支付宝堂食",收入明细2603[收入明细])</f>
        <v>2679.29</v>
      </c>
      <c r="C16" s="16">
        <f>$B$16/$B$3</f>
        <v>0.0362904574825221</v>
      </c>
    </row>
    <row r="17" customHeight="1" spans="1:3">
      <c r="A17" s="15" t="s">
        <v>64</v>
      </c>
      <c r="B17" s="14">
        <f>SUMIF(收入明细2603[分类],"京东外卖",收入明细2603[收入明细])</f>
        <v>9171.69</v>
      </c>
      <c r="C17" s="16">
        <f>$B$17/$B$3</f>
        <v>0.124228741938302</v>
      </c>
    </row>
    <row r="18" customHeight="1" spans="1:3">
      <c r="A18" s="42" t="s">
        <v>65</v>
      </c>
      <c r="B18" s="21">
        <f>SUM(B13:B17)</f>
        <v>73829.05</v>
      </c>
      <c r="C18" s="22">
        <f>SUM($C$13:$C$17)</f>
        <v>1</v>
      </c>
    </row>
    <row r="21" customHeight="1" spans="1:3">
      <c r="A21" s="25" t="s">
        <v>66</v>
      </c>
      <c r="B21" s="25"/>
      <c r="C21" s="25"/>
    </row>
    <row r="22" customHeight="1" spans="1:3">
      <c r="A22" s="43" t="s">
        <v>67</v>
      </c>
      <c r="B22" s="27"/>
      <c r="C22" s="28"/>
    </row>
    <row r="23" customHeight="1" spans="1:3">
      <c r="A23" s="15" t="s">
        <v>25</v>
      </c>
      <c r="B23" s="14">
        <f>SUMIF(支出明细2603[分类],"食材",支出明细2603[支出明细])</f>
        <v>43474.81</v>
      </c>
      <c r="C23" s="16">
        <f>$B$23/$B$4</f>
        <v>0.637902973763328</v>
      </c>
    </row>
    <row r="24" customHeight="1" spans="1:3">
      <c r="A24" s="15" t="s">
        <v>68</v>
      </c>
      <c r="B24" s="14">
        <f>SUMIF(支出明细2603[分类],"工资",支出明细2603[支出明细])</f>
        <v>15000</v>
      </c>
      <c r="C24" s="16">
        <f>$B$24/$B$4</f>
        <v>0.220093994808716</v>
      </c>
    </row>
    <row r="25" customHeight="1" spans="1:3">
      <c r="A25" s="15" t="s">
        <v>6</v>
      </c>
      <c r="B25" s="14">
        <f>SUMIF(支出明细2603[分类],"房租",支出明细2603[支出明细])</f>
        <v>4333</v>
      </c>
      <c r="C25" s="16">
        <f>$B$25/$B$4</f>
        <v>0.0635778186337445</v>
      </c>
    </row>
    <row r="26" customHeight="1" spans="1:3">
      <c r="A26" s="15" t="s">
        <v>32</v>
      </c>
      <c r="B26" s="14">
        <f>SUMIF(支出明细2603[分类],"推广",支出明细2603[支出明细])</f>
        <v>850</v>
      </c>
      <c r="C26" s="16">
        <f>$B$26/$B$4</f>
        <v>0.0124719930391606</v>
      </c>
    </row>
    <row r="27" customHeight="1" spans="1:3">
      <c r="A27" s="15" t="s">
        <v>37</v>
      </c>
      <c r="B27" s="14">
        <f>SUMIF(支出明细2603[分类],"水电",支出明细2603[支出明细])</f>
        <v>3747.9</v>
      </c>
      <c r="C27" s="16">
        <f>$B$27/$B$4</f>
        <v>0.0549926855429059</v>
      </c>
    </row>
    <row r="28" customHeight="1" spans="1:3">
      <c r="A28" s="15" t="s">
        <v>14</v>
      </c>
      <c r="B28" s="14">
        <f>SUMIF(支出明细2603[分类],"其他",支出明细2603[支出明细])</f>
        <v>746.99</v>
      </c>
      <c r="C28" s="16">
        <f>$B$28/$B$4</f>
        <v>0.0109605342121442</v>
      </c>
    </row>
    <row r="29" customHeight="1" spans="1:3">
      <c r="A29" s="44" t="s">
        <v>65</v>
      </c>
      <c r="B29" s="30">
        <f>SUM(B23:B28)</f>
        <v>68152.7</v>
      </c>
      <c r="C29" s="31">
        <f>SUM($C$23:$C$28)</f>
        <v>1</v>
      </c>
    </row>
    <row r="32" customHeight="1" spans="1:3">
      <c r="A32" s="45" t="s">
        <v>69</v>
      </c>
      <c r="B32" s="32" t="s">
        <v>4</v>
      </c>
      <c r="C32" s="33" t="s">
        <v>5</v>
      </c>
    </row>
    <row r="33" customHeight="1" spans="1:3">
      <c r="A33" s="34">
        <v>8739.36</v>
      </c>
      <c r="B33" s="32" t="s">
        <v>62</v>
      </c>
      <c r="C33" s="33" t="s">
        <v>77</v>
      </c>
    </row>
    <row r="34" customHeight="1" spans="1:3">
      <c r="A34" s="34">
        <v>108.3</v>
      </c>
      <c r="B34" s="32" t="s">
        <v>62</v>
      </c>
      <c r="C34" s="33" t="s">
        <v>78</v>
      </c>
    </row>
    <row r="35" customHeight="1" spans="1:3">
      <c r="A35" s="34">
        <v>2679.29</v>
      </c>
      <c r="B35" s="32" t="s">
        <v>63</v>
      </c>
      <c r="C35" s="33"/>
    </row>
    <row r="36" customHeight="1" spans="1:3">
      <c r="A36" s="34">
        <v>9171.69</v>
      </c>
      <c r="B36" s="32" t="s">
        <v>64</v>
      </c>
      <c r="C36" s="33"/>
    </row>
    <row r="37" customHeight="1" spans="1:3">
      <c r="A37" s="34">
        <v>28180.51</v>
      </c>
      <c r="B37" s="32" t="s">
        <v>60</v>
      </c>
      <c r="C37" s="33"/>
    </row>
    <row r="38" customHeight="1" spans="1:3">
      <c r="A38" s="34">
        <v>24949.9</v>
      </c>
      <c r="B38" s="32" t="s">
        <v>61</v>
      </c>
      <c r="C38" s="33"/>
    </row>
    <row r="40" customHeight="1" spans="1:3">
      <c r="A40" s="45"/>
      <c r="B40" s="35"/>
      <c r="C40" s="36"/>
    </row>
    <row r="41" customHeight="1" spans="1:3">
      <c r="A41" s="46" t="s">
        <v>71</v>
      </c>
      <c r="B41" s="33" t="s">
        <v>4</v>
      </c>
      <c r="C41" s="33" t="s">
        <v>5</v>
      </c>
    </row>
    <row r="42" customHeight="1" spans="1:3">
      <c r="A42" s="1">
        <v>4333</v>
      </c>
      <c r="B42" s="33" t="s">
        <v>6</v>
      </c>
      <c r="C42" s="33" t="s">
        <v>72</v>
      </c>
    </row>
    <row r="43" customHeight="1" spans="1:3">
      <c r="A43" s="1">
        <v>15000</v>
      </c>
      <c r="B43" s="33" t="s">
        <v>68</v>
      </c>
      <c r="C43" s="33" t="s">
        <v>79</v>
      </c>
    </row>
    <row r="44" customHeight="1" spans="1:3">
      <c r="A44" s="1">
        <v>3747.9</v>
      </c>
      <c r="B44" s="33" t="s">
        <v>37</v>
      </c>
      <c r="C44" s="33" t="s">
        <v>80</v>
      </c>
    </row>
    <row r="45" customHeight="1" spans="1:3">
      <c r="A45" s="1">
        <v>4140</v>
      </c>
      <c r="B45" s="33" t="s">
        <v>25</v>
      </c>
      <c r="C45" s="33" t="s">
        <v>81</v>
      </c>
    </row>
    <row r="46" customHeight="1" spans="1:3">
      <c r="A46" s="1">
        <v>7866</v>
      </c>
      <c r="B46" s="33" t="s">
        <v>25</v>
      </c>
      <c r="C46" s="33" t="s">
        <v>82</v>
      </c>
    </row>
    <row r="47" customHeight="1" spans="1:3">
      <c r="A47" s="1">
        <v>28.64</v>
      </c>
      <c r="B47" s="33" t="s">
        <v>14</v>
      </c>
      <c r="C47" s="33" t="s">
        <v>83</v>
      </c>
    </row>
    <row r="48" customHeight="1" spans="1:3">
      <c r="A48" s="1">
        <v>44.48</v>
      </c>
      <c r="B48" s="33" t="s">
        <v>25</v>
      </c>
      <c r="C48" s="33" t="s">
        <v>36</v>
      </c>
    </row>
    <row r="49" customHeight="1" spans="1:3">
      <c r="A49" s="1">
        <v>3000</v>
      </c>
      <c r="B49" s="33" t="s">
        <v>25</v>
      </c>
      <c r="C49" s="33" t="s">
        <v>26</v>
      </c>
    </row>
    <row r="50" customHeight="1" spans="1:3">
      <c r="A50" s="1">
        <v>23</v>
      </c>
      <c r="B50" s="33" t="s">
        <v>25</v>
      </c>
      <c r="C50" s="33" t="s">
        <v>84</v>
      </c>
    </row>
    <row r="51" customHeight="1" spans="1:3">
      <c r="A51" s="1">
        <v>468</v>
      </c>
      <c r="B51" s="33" t="s">
        <v>25</v>
      </c>
      <c r="C51" s="33" t="s">
        <v>85</v>
      </c>
    </row>
    <row r="52" customHeight="1" spans="1:3">
      <c r="A52" s="1">
        <v>385</v>
      </c>
      <c r="B52" s="33" t="s">
        <v>25</v>
      </c>
      <c r="C52" s="33" t="s">
        <v>86</v>
      </c>
    </row>
    <row r="53" customHeight="1" spans="1:3">
      <c r="A53" s="1">
        <v>295</v>
      </c>
      <c r="B53" s="33" t="s">
        <v>25</v>
      </c>
      <c r="C53" s="33" t="s">
        <v>87</v>
      </c>
    </row>
    <row r="54" customHeight="1" spans="1:3">
      <c r="A54" s="1">
        <v>718</v>
      </c>
      <c r="B54" s="33" t="s">
        <v>25</v>
      </c>
      <c r="C54" s="33" t="s">
        <v>88</v>
      </c>
    </row>
    <row r="55" customHeight="1" spans="1:3">
      <c r="A55" s="1">
        <v>57.6</v>
      </c>
      <c r="B55" s="33" t="s">
        <v>25</v>
      </c>
      <c r="C55" s="33" t="s">
        <v>89</v>
      </c>
    </row>
    <row r="56" customHeight="1" spans="1:3">
      <c r="A56" s="1">
        <v>302.5</v>
      </c>
      <c r="B56" s="33" t="s">
        <v>25</v>
      </c>
      <c r="C56" s="33" t="s">
        <v>90</v>
      </c>
    </row>
    <row r="57" customHeight="1" spans="1:3">
      <c r="A57" s="1">
        <v>400</v>
      </c>
      <c r="B57" s="33" t="s">
        <v>32</v>
      </c>
      <c r="C57" s="33" t="s">
        <v>91</v>
      </c>
    </row>
    <row r="58" customHeight="1" spans="1:3">
      <c r="A58" s="1">
        <v>225</v>
      </c>
      <c r="B58" s="33" t="s">
        <v>25</v>
      </c>
      <c r="C58" s="33" t="s">
        <v>92</v>
      </c>
    </row>
    <row r="59" customHeight="1" spans="1:3">
      <c r="A59" s="1">
        <v>350</v>
      </c>
      <c r="B59" s="33" t="s">
        <v>25</v>
      </c>
      <c r="C59" s="33" t="s">
        <v>93</v>
      </c>
    </row>
    <row r="60" customHeight="1" spans="1:3">
      <c r="A60" s="1">
        <v>112</v>
      </c>
      <c r="B60" s="33" t="s">
        <v>25</v>
      </c>
      <c r="C60" s="33" t="s">
        <v>94</v>
      </c>
    </row>
    <row r="61" customHeight="1" spans="1:3">
      <c r="A61" s="1">
        <v>198</v>
      </c>
      <c r="B61" s="33" t="s">
        <v>25</v>
      </c>
      <c r="C61" s="33" t="s">
        <v>95</v>
      </c>
    </row>
    <row r="62" customHeight="1" spans="1:3">
      <c r="A62" s="1">
        <v>100</v>
      </c>
      <c r="B62" s="33" t="s">
        <v>32</v>
      </c>
      <c r="C62" s="33" t="s">
        <v>96</v>
      </c>
    </row>
    <row r="63" customHeight="1" spans="1:3">
      <c r="A63" s="1">
        <v>362</v>
      </c>
      <c r="B63" s="33" t="s">
        <v>25</v>
      </c>
      <c r="C63" s="33" t="s">
        <v>97</v>
      </c>
    </row>
    <row r="64" customHeight="1" spans="1:3">
      <c r="A64" s="1">
        <v>300</v>
      </c>
      <c r="B64" s="33" t="s">
        <v>32</v>
      </c>
      <c r="C64" s="33" t="s">
        <v>98</v>
      </c>
    </row>
    <row r="65" customHeight="1" spans="1:3">
      <c r="A65" s="1">
        <v>128</v>
      </c>
      <c r="B65" s="33" t="s">
        <v>25</v>
      </c>
      <c r="C65" s="33" t="s">
        <v>99</v>
      </c>
    </row>
    <row r="66" customHeight="1" spans="1:3">
      <c r="A66" s="1">
        <v>304.63</v>
      </c>
      <c r="B66" s="33" t="s">
        <v>25</v>
      </c>
      <c r="C66" s="33" t="s">
        <v>90</v>
      </c>
    </row>
    <row r="67" customHeight="1" spans="1:3">
      <c r="A67" s="1">
        <v>4355.5</v>
      </c>
      <c r="B67" s="33" t="s">
        <v>25</v>
      </c>
      <c r="C67" s="33" t="s">
        <v>100</v>
      </c>
    </row>
    <row r="68" customHeight="1" spans="1:3">
      <c r="A68" s="1">
        <v>-180</v>
      </c>
      <c r="B68" s="33" t="s">
        <v>25</v>
      </c>
      <c r="C68" s="33" t="s">
        <v>101</v>
      </c>
    </row>
    <row r="69" customHeight="1" spans="1:3">
      <c r="A69" s="1">
        <v>350</v>
      </c>
      <c r="B69" s="33" t="s">
        <v>25</v>
      </c>
      <c r="C69" s="33" t="s">
        <v>102</v>
      </c>
    </row>
    <row r="70" customHeight="1" spans="1:3">
      <c r="A70" s="1">
        <v>224</v>
      </c>
      <c r="B70" s="33" t="s">
        <v>25</v>
      </c>
      <c r="C70" s="33" t="s">
        <v>103</v>
      </c>
    </row>
    <row r="71" customHeight="1" spans="1:3">
      <c r="A71" s="1">
        <v>177</v>
      </c>
      <c r="B71" s="33" t="s">
        <v>25</v>
      </c>
      <c r="C71" s="33" t="s">
        <v>104</v>
      </c>
    </row>
    <row r="72" customHeight="1" spans="1:3">
      <c r="A72" s="1">
        <v>112.2</v>
      </c>
      <c r="B72" s="33" t="s">
        <v>25</v>
      </c>
      <c r="C72" s="33" t="s">
        <v>105</v>
      </c>
    </row>
    <row r="73" customHeight="1" spans="1:3">
      <c r="A73" s="1">
        <v>-896</v>
      </c>
      <c r="B73" s="33" t="s">
        <v>25</v>
      </c>
      <c r="C73" s="33" t="s">
        <v>106</v>
      </c>
    </row>
    <row r="74" customHeight="1" spans="1:3">
      <c r="A74" s="1">
        <v>1188</v>
      </c>
      <c r="B74" s="33" t="s">
        <v>25</v>
      </c>
      <c r="C74" s="33" t="s">
        <v>107</v>
      </c>
    </row>
    <row r="75" customHeight="1" spans="1:3">
      <c r="A75" s="1">
        <v>2500</v>
      </c>
      <c r="B75" s="33" t="s">
        <v>25</v>
      </c>
      <c r="C75" s="33" t="s">
        <v>108</v>
      </c>
    </row>
    <row r="76" customHeight="1" spans="1:3">
      <c r="A76" s="1">
        <v>299</v>
      </c>
      <c r="B76" s="33" t="s">
        <v>14</v>
      </c>
      <c r="C76" s="33" t="s">
        <v>109</v>
      </c>
    </row>
    <row r="77" customHeight="1" spans="1:3">
      <c r="A77" s="1">
        <v>-433</v>
      </c>
      <c r="B77" s="33" t="s">
        <v>25</v>
      </c>
      <c r="C77" s="33" t="s">
        <v>110</v>
      </c>
    </row>
    <row r="78" customHeight="1" spans="1:3">
      <c r="A78" s="1">
        <v>50</v>
      </c>
      <c r="B78" s="33" t="s">
        <v>32</v>
      </c>
      <c r="C78" s="33" t="s">
        <v>111</v>
      </c>
    </row>
    <row r="79" customHeight="1" spans="1:3">
      <c r="A79" s="1">
        <v>601.92</v>
      </c>
      <c r="B79" s="33" t="s">
        <v>25</v>
      </c>
      <c r="C79" s="33" t="s">
        <v>112</v>
      </c>
    </row>
    <row r="80" customHeight="1" spans="1:3">
      <c r="A80" s="1">
        <v>390</v>
      </c>
      <c r="B80" s="33" t="s">
        <v>25</v>
      </c>
      <c r="C80" s="33" t="s">
        <v>113</v>
      </c>
    </row>
    <row r="81" customHeight="1" spans="1:3">
      <c r="A81" s="1">
        <v>300</v>
      </c>
      <c r="B81" s="33" t="s">
        <v>14</v>
      </c>
      <c r="C81" s="33" t="s">
        <v>114</v>
      </c>
    </row>
    <row r="82" customHeight="1" spans="1:3">
      <c r="A82" s="1">
        <v>125.1</v>
      </c>
      <c r="B82" s="33" t="s">
        <v>25</v>
      </c>
      <c r="C82" s="33" t="s">
        <v>115</v>
      </c>
    </row>
    <row r="83" customHeight="1" spans="1:3">
      <c r="A83" s="1">
        <v>170</v>
      </c>
      <c r="B83" s="33" t="s">
        <v>25</v>
      </c>
      <c r="C83" s="33" t="s">
        <v>116</v>
      </c>
    </row>
    <row r="84" customHeight="1" spans="1:3">
      <c r="A84" s="1">
        <v>198</v>
      </c>
      <c r="B84" s="33" t="s">
        <v>25</v>
      </c>
      <c r="C84" s="33" t="s">
        <v>95</v>
      </c>
    </row>
    <row r="85" customHeight="1" spans="1:3">
      <c r="A85" s="1">
        <v>308</v>
      </c>
      <c r="B85" s="33" t="s">
        <v>25</v>
      </c>
      <c r="C85" s="33" t="s">
        <v>117</v>
      </c>
    </row>
    <row r="86" customHeight="1" spans="1:3">
      <c r="A86" s="1">
        <v>7560</v>
      </c>
      <c r="B86" s="33" t="s">
        <v>25</v>
      </c>
      <c r="C86" s="33" t="s">
        <v>118</v>
      </c>
    </row>
    <row r="87" customHeight="1" spans="1:3">
      <c r="A87" s="1">
        <v>500</v>
      </c>
      <c r="B87" s="33" t="s">
        <v>25</v>
      </c>
      <c r="C87" s="33" t="s">
        <v>26</v>
      </c>
    </row>
    <row r="88" customHeight="1" spans="1:3">
      <c r="A88" s="1">
        <v>195</v>
      </c>
      <c r="B88" s="33" t="s">
        <v>25</v>
      </c>
      <c r="C88" s="33" t="s">
        <v>119</v>
      </c>
    </row>
    <row r="89" customHeight="1" spans="1:3">
      <c r="A89" s="1">
        <v>33.9</v>
      </c>
      <c r="B89" s="33" t="s">
        <v>14</v>
      </c>
      <c r="C89" s="33" t="s">
        <v>120</v>
      </c>
    </row>
    <row r="90" customHeight="1" spans="1:3">
      <c r="A90" s="1">
        <v>1410</v>
      </c>
      <c r="B90" s="33" t="s">
        <v>25</v>
      </c>
      <c r="C90" s="33" t="s">
        <v>121</v>
      </c>
    </row>
    <row r="91" customHeight="1" spans="1:3">
      <c r="A91" s="1">
        <v>81.65</v>
      </c>
      <c r="B91" s="33" t="s">
        <v>14</v>
      </c>
      <c r="C91" s="33" t="s">
        <v>122</v>
      </c>
    </row>
    <row r="92" customHeight="1" spans="1:3">
      <c r="A92" s="1">
        <v>551.92</v>
      </c>
      <c r="B92" s="33" t="s">
        <v>25</v>
      </c>
      <c r="C92" s="33" t="s">
        <v>36</v>
      </c>
    </row>
    <row r="93" customHeight="1" spans="1:3">
      <c r="A93" s="1">
        <v>246</v>
      </c>
      <c r="B93" s="33" t="s">
        <v>25</v>
      </c>
      <c r="C93" s="33" t="s">
        <v>123</v>
      </c>
    </row>
    <row r="94" customHeight="1" spans="1:3">
      <c r="A94" s="1">
        <v>244.6</v>
      </c>
      <c r="B94" s="33" t="s">
        <v>25</v>
      </c>
      <c r="C94" s="33" t="s">
        <v>124</v>
      </c>
    </row>
    <row r="95" customHeight="1" spans="1:3">
      <c r="A95" s="1">
        <v>500</v>
      </c>
      <c r="B95" s="33" t="s">
        <v>25</v>
      </c>
      <c r="C95" s="33" t="s">
        <v>26</v>
      </c>
    </row>
    <row r="96" customHeight="1" spans="1:3">
      <c r="A96" s="1">
        <v>480</v>
      </c>
      <c r="B96" s="33" t="s">
        <v>25</v>
      </c>
      <c r="C96" s="33" t="s">
        <v>125</v>
      </c>
    </row>
    <row r="97" customHeight="1" spans="1:3">
      <c r="A97" s="1">
        <v>120</v>
      </c>
      <c r="B97" s="33" t="s">
        <v>25</v>
      </c>
      <c r="C97" s="33" t="s">
        <v>126</v>
      </c>
    </row>
    <row r="98" customHeight="1" spans="1:3">
      <c r="A98" s="1">
        <v>2555</v>
      </c>
      <c r="B98" s="33" t="s">
        <v>25</v>
      </c>
      <c r="C98" s="33" t="s">
        <v>127</v>
      </c>
    </row>
    <row r="99" customHeight="1" spans="1:3">
      <c r="A99" s="1">
        <v>106</v>
      </c>
      <c r="B99" s="33" t="s">
        <v>25</v>
      </c>
      <c r="C99" s="33" t="s">
        <v>128</v>
      </c>
    </row>
    <row r="100" customHeight="1" spans="1:3">
      <c r="A100" s="1">
        <v>22.8</v>
      </c>
      <c r="B100" s="33" t="s">
        <v>14</v>
      </c>
      <c r="C100" s="33" t="s">
        <v>129</v>
      </c>
    </row>
    <row r="101" customHeight="1" spans="1:3">
      <c r="A101" s="1">
        <v>390</v>
      </c>
      <c r="B101" s="33" t="s">
        <v>25</v>
      </c>
      <c r="C101" s="33" t="s">
        <v>130</v>
      </c>
    </row>
    <row r="102" customHeight="1" spans="1:3">
      <c r="A102" s="1">
        <v>246</v>
      </c>
      <c r="B102" s="33" t="s">
        <v>25</v>
      </c>
      <c r="C102" s="33" t="s">
        <v>123</v>
      </c>
    </row>
    <row r="103" customHeight="1" spans="1:3">
      <c r="A103" s="1">
        <v>130</v>
      </c>
      <c r="B103" s="33" t="s">
        <v>14</v>
      </c>
      <c r="C103" s="33" t="s">
        <v>131</v>
      </c>
    </row>
    <row r="104" customHeight="1" spans="1:3">
      <c r="A104" s="1">
        <v>96</v>
      </c>
      <c r="B104" s="33" t="s">
        <v>25</v>
      </c>
      <c r="C104" s="33" t="s">
        <v>132</v>
      </c>
    </row>
    <row r="105" customHeight="1" spans="1:3">
      <c r="A105" s="1">
        <v>104.36</v>
      </c>
      <c r="B105" s="33" t="s">
        <v>25</v>
      </c>
      <c r="C105" s="33" t="s">
        <v>133</v>
      </c>
    </row>
    <row r="106" customHeight="1" spans="1:3">
      <c r="A106" s="1">
        <v>-149</v>
      </c>
      <c r="B106" s="2" t="s">
        <v>14</v>
      </c>
      <c r="C106" s="2" t="s">
        <v>134</v>
      </c>
    </row>
  </sheetData>
  <mergeCells count="4">
    <mergeCell ref="A1:C1"/>
    <mergeCell ref="A11:C11"/>
    <mergeCell ref="A21:C21"/>
    <mergeCell ref="A22:C22"/>
  </mergeCells>
  <dataValidations count="1">
    <dataValidation type="list" allowBlank="1" showInputMessage="1" showErrorMessage="1" sqref="B4 B41 B106 B2:B3 B5:B9 B11:B19 B21:B31 B42:B105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70"/>
  <sheetViews>
    <sheetView topLeftCell="A15" workbookViewId="0">
      <selection activeCell="A41" sqref="A41"/>
    </sheetView>
  </sheetViews>
  <sheetFormatPr defaultColWidth="30.625" defaultRowHeight="25.15" customHeight="1" outlineLevelCol="2"/>
  <cols>
    <col min="1" max="1" width="30.625" style="38" customWidth="1"/>
    <col min="2" max="2" width="30.625" style="2" customWidth="1"/>
    <col min="3" max="16384" width="30.625" style="2"/>
  </cols>
  <sheetData>
    <row r="1" customHeight="1" spans="1:3">
      <c r="A1" s="39" t="s">
        <v>44</v>
      </c>
      <c r="B1" s="4"/>
      <c r="C1" s="4"/>
    </row>
    <row r="2" customHeight="1" spans="1:3">
      <c r="A2" s="6" t="s">
        <v>45</v>
      </c>
      <c r="B2" s="6" t="s">
        <v>46</v>
      </c>
      <c r="C2" s="6" t="s">
        <v>47</v>
      </c>
    </row>
    <row r="3" customHeight="1" spans="1:3">
      <c r="A3" s="9" t="s">
        <v>48</v>
      </c>
      <c r="B3" s="8">
        <f>SUM(收入明细2604[收入明细])</f>
        <v>50447.48</v>
      </c>
      <c r="C3" s="9" t="s">
        <v>49</v>
      </c>
    </row>
    <row r="4" customHeight="1" spans="1:3">
      <c r="A4" s="12" t="s">
        <v>50</v>
      </c>
      <c r="B4" s="11">
        <f>SUM(支出明细2604[支出明细])</f>
        <v>49908.93</v>
      </c>
      <c r="C4" s="12" t="s">
        <v>49</v>
      </c>
    </row>
    <row r="5" customHeight="1" spans="1:3">
      <c r="A5" s="15" t="s">
        <v>51</v>
      </c>
      <c r="B5" s="14">
        <f>$B$3-SUMIF(支出明细2604[分类],"食材",支出明细2604[支出明细])</f>
        <v>22617.63</v>
      </c>
      <c r="C5" s="15" t="s">
        <v>49</v>
      </c>
    </row>
    <row r="6" customHeight="1" spans="1:3">
      <c r="A6" s="15" t="s">
        <v>52</v>
      </c>
      <c r="B6" s="14">
        <f>$B$3-$B$4</f>
        <v>538.550000000003</v>
      </c>
      <c r="C6" s="15" t="s">
        <v>49</v>
      </c>
    </row>
    <row r="7" customHeight="1" spans="1:3">
      <c r="A7" s="15" t="s">
        <v>53</v>
      </c>
      <c r="B7" s="16">
        <f>$B$5/$B$3</f>
        <v>0.44834013512667</v>
      </c>
      <c r="C7" s="15" t="s">
        <v>54</v>
      </c>
    </row>
    <row r="8" customHeight="1" spans="1:3">
      <c r="A8" s="15" t="s">
        <v>55</v>
      </c>
      <c r="B8" s="16">
        <f>$B$6/$B$3</f>
        <v>0.0106754589129131</v>
      </c>
      <c r="C8" s="15" t="s">
        <v>54</v>
      </c>
    </row>
    <row r="9" customHeight="1" spans="1:3">
      <c r="A9" s="40"/>
      <c r="B9" s="4"/>
      <c r="C9" s="4"/>
    </row>
    <row r="10" customHeight="1" spans="1:3">
      <c r="A10" s="40"/>
      <c r="B10" s="4"/>
      <c r="C10" s="4"/>
    </row>
    <row r="11" customHeight="1" spans="1:3">
      <c r="A11" s="41" t="s">
        <v>56</v>
      </c>
      <c r="B11" s="4"/>
      <c r="C11" s="4"/>
    </row>
    <row r="12" customHeight="1" spans="1:3">
      <c r="A12" s="19" t="s">
        <v>57</v>
      </c>
      <c r="B12" s="19" t="s">
        <v>58</v>
      </c>
      <c r="C12" s="19" t="s">
        <v>59</v>
      </c>
    </row>
    <row r="13" customHeight="1" spans="1:3">
      <c r="A13" s="15" t="s">
        <v>60</v>
      </c>
      <c r="B13" s="14">
        <f>SUMIF(收入明细2604[分类],"淘宝外卖",收入明细2604[收入明细])</f>
        <v>15710.8</v>
      </c>
      <c r="C13" s="16">
        <f>$B$13/$B$3</f>
        <v>0.311428836484994</v>
      </c>
    </row>
    <row r="14" customHeight="1" spans="1:3">
      <c r="A14" s="15" t="s">
        <v>61</v>
      </c>
      <c r="B14" s="14">
        <f>SUMIF(收入明细2604[分类],"美团外卖",收入明细2604[收入明细])</f>
        <v>18407.68</v>
      </c>
      <c r="C14" s="16">
        <f>$B$14/$B$3</f>
        <v>0.36488799836979</v>
      </c>
    </row>
    <row r="15" customHeight="1" spans="1:3">
      <c r="A15" s="15" t="s">
        <v>62</v>
      </c>
      <c r="B15" s="14">
        <f>SUMIF(收入明细2604[分类],"微信堂食",收入明细2604[收入明细])</f>
        <v>7976.67</v>
      </c>
      <c r="C15" s="16">
        <f>$B$15/$B$3</f>
        <v>0.158118304422738</v>
      </c>
    </row>
    <row r="16" customHeight="1" spans="1:3">
      <c r="A16" s="15" t="s">
        <v>63</v>
      </c>
      <c r="B16" s="14">
        <f>SUMIF(收入明细2604[分类],"支付宝堂食",收入明细2604[收入明细])</f>
        <v>2226.43</v>
      </c>
      <c r="C16" s="16">
        <f>$B$16/$B$3</f>
        <v>0.0441336217388857</v>
      </c>
    </row>
    <row r="17" customHeight="1" spans="1:3">
      <c r="A17" s="15" t="s">
        <v>64</v>
      </c>
      <c r="B17" s="14">
        <f>SUMIF(收入明细2604[分类],"京东外卖",收入明细2604[收入明细])</f>
        <v>6108.35</v>
      </c>
      <c r="C17" s="16">
        <f>$B$17/$B$3</f>
        <v>0.121083352429101</v>
      </c>
    </row>
    <row r="18" customHeight="1" spans="1:3">
      <c r="A18" s="15" t="s">
        <v>135</v>
      </c>
      <c r="B18" s="14">
        <f>SUMIF(收入明细2604[分类],"抖音来客",收入明细2604[收入明细])</f>
        <v>17.55</v>
      </c>
      <c r="C18" s="16">
        <f>$B$18/$B$3</f>
        <v>0.000347886554491919</v>
      </c>
    </row>
    <row r="19" customHeight="1" spans="1:3">
      <c r="A19" s="42" t="s">
        <v>65</v>
      </c>
      <c r="B19" s="21">
        <f>SUM(B13:B18)</f>
        <v>50447.48</v>
      </c>
      <c r="C19" s="22">
        <f>SUM($C$13:$C$18)</f>
        <v>1</v>
      </c>
    </row>
    <row r="20" customFormat="1" customHeight="1"/>
    <row r="21" customFormat="1" customHeight="1"/>
    <row r="22" customHeight="1" spans="1:3">
      <c r="A22" s="25" t="s">
        <v>66</v>
      </c>
      <c r="B22" s="25"/>
      <c r="C22" s="25"/>
    </row>
    <row r="23" customHeight="1" spans="1:3">
      <c r="A23" s="43" t="s">
        <v>67</v>
      </c>
      <c r="B23" s="27"/>
      <c r="C23" s="28"/>
    </row>
    <row r="24" customHeight="1" spans="1:3">
      <c r="A24" s="15" t="s">
        <v>25</v>
      </c>
      <c r="B24" s="14">
        <f>SUMIF(支出明细2604[分类],"食材",支出明细2604[支出明细])</f>
        <v>27829.85</v>
      </c>
      <c r="C24" s="16">
        <f>$B$24/$B$4</f>
        <v>0.557612635654581</v>
      </c>
    </row>
    <row r="25" customHeight="1" spans="1:3">
      <c r="A25" s="15" t="s">
        <v>68</v>
      </c>
      <c r="B25" s="14">
        <f>SUMIF(支出明细2604[分类],"工资",支出明细2604[支出明细])</f>
        <v>12000</v>
      </c>
      <c r="C25" s="16">
        <f>$B$25/$B$4</f>
        <v>0.240437933652354</v>
      </c>
    </row>
    <row r="26" customHeight="1" spans="1:3">
      <c r="A26" s="15" t="s">
        <v>6</v>
      </c>
      <c r="B26" s="14">
        <f>SUMIF(支出明细2604[分类],"房租",支出明细2604[支出明细])</f>
        <v>4333</v>
      </c>
      <c r="C26" s="16">
        <f>$B$26/$B$4</f>
        <v>0.086818130542971</v>
      </c>
    </row>
    <row r="27" customHeight="1" spans="1:3">
      <c r="A27" s="15" t="s">
        <v>32</v>
      </c>
      <c r="B27" s="14">
        <f>SUMIF(支出明细2604[分类],"推广",支出明细2604[支出明细])</f>
        <v>0</v>
      </c>
      <c r="C27" s="16">
        <f>$B$27/$B$4</f>
        <v>0</v>
      </c>
    </row>
    <row r="28" customHeight="1" spans="1:3">
      <c r="A28" s="15" t="s">
        <v>37</v>
      </c>
      <c r="B28" s="14">
        <f>SUMIF(支出明细2604[分类],"水电",支出明细2604[支出明细])</f>
        <v>3355</v>
      </c>
      <c r="C28" s="16">
        <f>$B$28/$B$4</f>
        <v>0.0672224389503041</v>
      </c>
    </row>
    <row r="29" customHeight="1" spans="1:3">
      <c r="A29" s="15" t="s">
        <v>14</v>
      </c>
      <c r="B29" s="14">
        <f>SUMIF(支出明细2604[分类],"其他",支出明细2604[支出明细])</f>
        <v>2391.08</v>
      </c>
      <c r="C29" s="16">
        <f>$B$29/$B$4</f>
        <v>0.0479088611997893</v>
      </c>
    </row>
    <row r="30" customHeight="1" spans="1:3">
      <c r="A30" s="44" t="s">
        <v>65</v>
      </c>
      <c r="B30" s="30">
        <f>SUM(B24:B29)</f>
        <v>49908.93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7729.51</v>
      </c>
      <c r="B34" s="32" t="s">
        <v>62</v>
      </c>
      <c r="C34" s="33" t="s">
        <v>136</v>
      </c>
    </row>
    <row r="35" customHeight="1" spans="1:3">
      <c r="A35" s="34">
        <v>247.16</v>
      </c>
      <c r="B35" s="32" t="s">
        <v>62</v>
      </c>
      <c r="C35" s="33" t="s">
        <v>137</v>
      </c>
    </row>
    <row r="36" customHeight="1" spans="1:3">
      <c r="A36" s="34">
        <v>2226.43</v>
      </c>
      <c r="B36" s="32" t="s">
        <v>63</v>
      </c>
      <c r="C36" s="33"/>
    </row>
    <row r="37" customHeight="1" spans="1:3">
      <c r="A37" s="34">
        <v>6108.35</v>
      </c>
      <c r="B37" s="32" t="s">
        <v>64</v>
      </c>
      <c r="C37" s="33"/>
    </row>
    <row r="38" customHeight="1" spans="1:3">
      <c r="A38" s="34">
        <v>15710.8</v>
      </c>
      <c r="B38" s="32" t="s">
        <v>60</v>
      </c>
      <c r="C38" s="33"/>
    </row>
    <row r="39" customHeight="1" spans="1:3">
      <c r="A39" s="34">
        <v>18407.68</v>
      </c>
      <c r="B39" s="32" t="s">
        <v>61</v>
      </c>
      <c r="C39" s="33"/>
    </row>
    <row r="40" customHeight="1" spans="1:3">
      <c r="A40" s="1">
        <v>17.55</v>
      </c>
      <c r="B40" s="35" t="s">
        <v>135</v>
      </c>
      <c r="C40" s="36"/>
    </row>
    <row r="41" customHeight="1" spans="1:3">
      <c r="A41" s="1"/>
      <c r="B41" s="35"/>
      <c r="C41" s="36"/>
    </row>
    <row r="42" customHeight="1" spans="1:3">
      <c r="A42" s="1"/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12000</v>
      </c>
      <c r="B45" s="33" t="s">
        <v>68</v>
      </c>
      <c r="C45" s="33" t="s">
        <v>68</v>
      </c>
    </row>
    <row r="46" customHeight="1" spans="1:3">
      <c r="A46" s="1">
        <v>3355</v>
      </c>
      <c r="B46" s="33" t="s">
        <v>37</v>
      </c>
      <c r="C46" s="33" t="s">
        <v>37</v>
      </c>
    </row>
    <row r="47" customHeight="1" spans="1:3">
      <c r="A47" s="1">
        <v>4000</v>
      </c>
      <c r="B47" s="33" t="s">
        <v>25</v>
      </c>
      <c r="C47" s="33" t="s">
        <v>138</v>
      </c>
    </row>
    <row r="48" customHeight="1" spans="1:3">
      <c r="A48" s="1">
        <v>397.58</v>
      </c>
      <c r="B48" s="32" t="s">
        <v>25</v>
      </c>
      <c r="C48" s="33" t="s">
        <v>139</v>
      </c>
    </row>
    <row r="49" customHeight="1" spans="1:3">
      <c r="A49" s="1">
        <v>2521.87</v>
      </c>
      <c r="B49" s="32" t="s">
        <v>25</v>
      </c>
      <c r="C49" s="33" t="s">
        <v>140</v>
      </c>
    </row>
    <row r="50" customHeight="1" spans="1:3">
      <c r="A50" s="1">
        <v>601.92</v>
      </c>
      <c r="B50" s="2" t="s">
        <v>25</v>
      </c>
      <c r="C50" s="2" t="s">
        <v>112</v>
      </c>
    </row>
    <row r="51" customHeight="1" spans="1:3">
      <c r="A51" s="1">
        <v>86.24</v>
      </c>
      <c r="B51" s="2" t="s">
        <v>25</v>
      </c>
      <c r="C51" s="2" t="s">
        <v>141</v>
      </c>
    </row>
    <row r="52" customHeight="1" spans="1:3">
      <c r="A52" s="1">
        <v>83.64</v>
      </c>
      <c r="B52" s="2" t="s">
        <v>25</v>
      </c>
      <c r="C52" s="2" t="s">
        <v>142</v>
      </c>
    </row>
    <row r="53" customHeight="1" spans="1:3">
      <c r="A53" s="1">
        <v>280</v>
      </c>
      <c r="B53" s="2" t="s">
        <v>25</v>
      </c>
      <c r="C53" s="2" t="s">
        <v>143</v>
      </c>
    </row>
    <row r="54" customHeight="1" spans="1:3">
      <c r="A54" s="1">
        <v>50</v>
      </c>
      <c r="B54" s="2" t="s">
        <v>14</v>
      </c>
      <c r="C54" s="2" t="s">
        <v>144</v>
      </c>
    </row>
    <row r="55" customHeight="1" spans="1:3">
      <c r="A55" s="1">
        <v>618</v>
      </c>
      <c r="B55" s="2" t="s">
        <v>25</v>
      </c>
      <c r="C55" s="2" t="s">
        <v>145</v>
      </c>
    </row>
    <row r="56" customHeight="1" spans="1:3">
      <c r="A56" s="1">
        <v>8092</v>
      </c>
      <c r="B56" s="2" t="s">
        <v>25</v>
      </c>
      <c r="C56" s="2" t="s">
        <v>146</v>
      </c>
    </row>
    <row r="57" customHeight="1" spans="1:3">
      <c r="A57" s="1">
        <v>1379</v>
      </c>
      <c r="B57" s="2" t="s">
        <v>25</v>
      </c>
      <c r="C57" s="2" t="s">
        <v>147</v>
      </c>
    </row>
    <row r="58" customHeight="1" spans="1:3">
      <c r="A58" s="1">
        <v>150</v>
      </c>
      <c r="B58" s="2" t="s">
        <v>14</v>
      </c>
      <c r="C58" s="2" t="s">
        <v>148</v>
      </c>
    </row>
    <row r="59" customHeight="1" spans="1:3">
      <c r="A59" s="1">
        <v>700</v>
      </c>
      <c r="B59" s="2" t="s">
        <v>14</v>
      </c>
      <c r="C59" s="2" t="s">
        <v>149</v>
      </c>
    </row>
    <row r="60" customHeight="1" spans="1:3">
      <c r="A60" s="1">
        <v>350</v>
      </c>
      <c r="B60" s="2" t="s">
        <v>25</v>
      </c>
      <c r="C60" s="2" t="s">
        <v>150</v>
      </c>
    </row>
    <row r="61" customHeight="1" spans="1:3">
      <c r="A61" s="1">
        <v>381</v>
      </c>
      <c r="B61" s="2" t="s">
        <v>25</v>
      </c>
      <c r="C61" s="2" t="s">
        <v>151</v>
      </c>
    </row>
    <row r="62" customHeight="1" spans="1:3">
      <c r="A62" s="1">
        <v>16.08</v>
      </c>
      <c r="B62" s="2" t="s">
        <v>14</v>
      </c>
      <c r="C62" s="2" t="s">
        <v>152</v>
      </c>
    </row>
    <row r="63" customHeight="1" spans="1:3">
      <c r="A63" s="1">
        <v>396</v>
      </c>
      <c r="B63" s="2" t="s">
        <v>25</v>
      </c>
      <c r="C63" s="2" t="s">
        <v>153</v>
      </c>
    </row>
    <row r="64" customHeight="1" spans="1:3">
      <c r="A64" s="1">
        <v>602</v>
      </c>
      <c r="B64" s="2" t="s">
        <v>25</v>
      </c>
      <c r="C64" s="2" t="s">
        <v>112</v>
      </c>
    </row>
    <row r="65" customHeight="1" spans="1:3">
      <c r="A65" s="1">
        <v>200</v>
      </c>
      <c r="B65" s="2" t="s">
        <v>14</v>
      </c>
      <c r="C65" s="2" t="s">
        <v>154</v>
      </c>
    </row>
    <row r="66" customHeight="1" spans="1:3">
      <c r="A66" s="1">
        <v>80</v>
      </c>
      <c r="B66" s="2" t="s">
        <v>25</v>
      </c>
      <c r="C66" s="2" t="s">
        <v>155</v>
      </c>
    </row>
    <row r="67" customHeight="1" spans="1:3">
      <c r="A67" s="1">
        <v>912</v>
      </c>
      <c r="B67" s="2" t="s">
        <v>25</v>
      </c>
      <c r="C67" s="2" t="s">
        <v>156</v>
      </c>
    </row>
    <row r="68" customHeight="1" spans="1:3">
      <c r="A68" s="1">
        <v>6783</v>
      </c>
      <c r="B68" s="2" t="s">
        <v>25</v>
      </c>
      <c r="C68" s="2" t="s">
        <v>157</v>
      </c>
    </row>
    <row r="69" customHeight="1" spans="1:3">
      <c r="A69" s="1">
        <v>265.6</v>
      </c>
      <c r="B69" s="2" t="s">
        <v>25</v>
      </c>
      <c r="C69" s="2" t="s">
        <v>158</v>
      </c>
    </row>
    <row r="70" customHeight="1" spans="1:3">
      <c r="A70" s="1">
        <v>1275</v>
      </c>
      <c r="B70" s="2" t="s">
        <v>14</v>
      </c>
      <c r="C70" s="2" t="s">
        <v>159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2:B7 B44:B70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70"/>
  <sheetViews>
    <sheetView topLeftCell="A10" workbookViewId="0">
      <selection activeCell="B19" sqref="B19"/>
    </sheetView>
  </sheetViews>
  <sheetFormatPr defaultColWidth="30.625" defaultRowHeight="25.15" customHeight="1" outlineLevelCol="2"/>
  <cols>
    <col min="1" max="1" width="30.625" style="38" customWidth="1"/>
    <col min="2" max="2" width="30.625" style="2" customWidth="1"/>
    <col min="3" max="16384" width="30.625" style="2"/>
  </cols>
  <sheetData>
    <row r="1" customHeight="1" spans="1:3">
      <c r="A1" s="39" t="s">
        <v>44</v>
      </c>
      <c r="B1" s="4"/>
      <c r="C1" s="4"/>
    </row>
    <row r="2" customHeight="1" spans="1:3">
      <c r="A2" s="6" t="s">
        <v>45</v>
      </c>
      <c r="B2" s="6" t="s">
        <v>46</v>
      </c>
      <c r="C2" s="6" t="s">
        <v>47</v>
      </c>
    </row>
    <row r="3" customHeight="1" spans="1:3">
      <c r="A3" s="9" t="s">
        <v>48</v>
      </c>
      <c r="B3" s="8">
        <f>SUM(收入明细260410[收入明细])</f>
        <v>41045.58</v>
      </c>
      <c r="C3" s="9" t="s">
        <v>49</v>
      </c>
    </row>
    <row r="4" customHeight="1" spans="1:3">
      <c r="A4" s="12" t="s">
        <v>50</v>
      </c>
      <c r="B4" s="11">
        <f>SUM(支出明细26049[支出明细])</f>
        <v>39275.29</v>
      </c>
      <c r="C4" s="12" t="s">
        <v>49</v>
      </c>
    </row>
    <row r="5" customHeight="1" spans="1:3">
      <c r="A5" s="15" t="s">
        <v>51</v>
      </c>
      <c r="B5" s="14">
        <f>$B$3-SUMIF(支出明细26049[分类],"食材",支出明细26049[支出明细])</f>
        <v>22365.66</v>
      </c>
      <c r="C5" s="15" t="s">
        <v>49</v>
      </c>
    </row>
    <row r="6" customHeight="1" spans="1:3">
      <c r="A6" s="15" t="s">
        <v>52</v>
      </c>
      <c r="B6" s="14">
        <f>$B$3-$B$4</f>
        <v>1770.29000000001</v>
      </c>
      <c r="C6" s="15" t="s">
        <v>49</v>
      </c>
    </row>
    <row r="7" customHeight="1" spans="1:3">
      <c r="A7" s="15" t="s">
        <v>53</v>
      </c>
      <c r="B7" s="16">
        <f>$B$5/$B$3</f>
        <v>0.544898135195069</v>
      </c>
      <c r="C7" s="15" t="s">
        <v>54</v>
      </c>
    </row>
    <row r="8" customHeight="1" spans="1:3">
      <c r="A8" s="15" t="s">
        <v>55</v>
      </c>
      <c r="B8" s="16">
        <f>$B$6/$B$3</f>
        <v>0.0431298571003262</v>
      </c>
      <c r="C8" s="15" t="s">
        <v>54</v>
      </c>
    </row>
    <row r="9" customHeight="1" spans="1:3">
      <c r="A9" s="40"/>
      <c r="B9" s="4"/>
      <c r="C9" s="4"/>
    </row>
    <row r="10" customHeight="1" spans="1:3">
      <c r="A10" s="40"/>
      <c r="B10" s="4"/>
      <c r="C10" s="4"/>
    </row>
    <row r="11" customHeight="1" spans="1:3">
      <c r="A11" s="41" t="s">
        <v>56</v>
      </c>
      <c r="B11" s="4"/>
      <c r="C11" s="4"/>
    </row>
    <row r="12" customHeight="1" spans="1:3">
      <c r="A12" s="19" t="s">
        <v>57</v>
      </c>
      <c r="B12" s="19" t="s">
        <v>58</v>
      </c>
      <c r="C12" s="19" t="s">
        <v>59</v>
      </c>
    </row>
    <row r="13" customHeight="1" spans="1:3">
      <c r="A13" s="15" t="s">
        <v>60</v>
      </c>
      <c r="B13" s="14">
        <f>SUMIF(收入明细260410[分类],"淘宝外卖",收入明细260410[收入明细])</f>
        <v>10340.77</v>
      </c>
      <c r="C13" s="16">
        <f>$B$13/$B$3</f>
        <v>0.251933825761507</v>
      </c>
    </row>
    <row r="14" customHeight="1" spans="1:3">
      <c r="A14" s="15" t="s">
        <v>61</v>
      </c>
      <c r="B14" s="14">
        <f>SUMIF(收入明细260410[分类],"美团外卖",收入明细260410[收入明细])</f>
        <v>15533.62</v>
      </c>
      <c r="C14" s="16">
        <f>$B$14/$B$3</f>
        <v>0.378448057013691</v>
      </c>
    </row>
    <row r="15" customHeight="1" spans="1:3">
      <c r="A15" s="15" t="s">
        <v>135</v>
      </c>
      <c r="B15" s="14">
        <f>SUMIF(收入明细260410[分类],"抖音来客",收入明细260410[收入明细])</f>
        <v>26.9</v>
      </c>
      <c r="C15" s="16">
        <f>$B$15/$B$3</f>
        <v>0.000655368982482401</v>
      </c>
    </row>
    <row r="16" customHeight="1" spans="1:3">
      <c r="A16" s="15" t="s">
        <v>62</v>
      </c>
      <c r="B16" s="14">
        <f>SUMIF(收入明细260410[分类],"微信堂食",收入明细260410[收入明细])</f>
        <v>7007.74</v>
      </c>
      <c r="C16" s="16">
        <f>$B$16/$B$3</f>
        <v>0.170730685252834</v>
      </c>
    </row>
    <row r="17" customHeight="1" spans="1:3">
      <c r="A17" s="15" t="s">
        <v>63</v>
      </c>
      <c r="B17" s="14">
        <f>SUMIF(收入明细260410[分类],"支付宝堂食",收入明细260410[收入明细])</f>
        <v>2317.44</v>
      </c>
      <c r="C17" s="16">
        <f>$B$17/$B$3</f>
        <v>0.0564601596566549</v>
      </c>
    </row>
    <row r="18" customHeight="1" spans="1:3">
      <c r="A18" s="15" t="s">
        <v>64</v>
      </c>
      <c r="B18" s="14">
        <f>SUMIF(收入明细260410[分类],"京东外卖",收入明细260410[收入明细])</f>
        <v>5819.11</v>
      </c>
      <c r="C18" s="16">
        <f>$B$18/$B$3</f>
        <v>0.141771903332831</v>
      </c>
    </row>
    <row r="19" customHeight="1" spans="1:3">
      <c r="A19" s="42" t="s">
        <v>65</v>
      </c>
      <c r="B19" s="21">
        <f>SUM(B13:B18)</f>
        <v>41045.58</v>
      </c>
      <c r="C19" s="22">
        <f>SUM($C$13:$C$18)</f>
        <v>1</v>
      </c>
    </row>
    <row r="20" customFormat="1" customHeight="1"/>
    <row r="21" customFormat="1" customHeight="1"/>
    <row r="22" customHeight="1" spans="1:3">
      <c r="A22" s="25" t="s">
        <v>66</v>
      </c>
      <c r="B22" s="25"/>
      <c r="C22" s="25"/>
    </row>
    <row r="23" customHeight="1" spans="1:3">
      <c r="A23" s="43" t="s">
        <v>67</v>
      </c>
      <c r="B23" s="27"/>
      <c r="C23" s="28"/>
    </row>
    <row r="24" customHeight="1" spans="1:3">
      <c r="A24" s="15" t="s">
        <v>25</v>
      </c>
      <c r="B24" s="14">
        <f>SUMIF(支出明细26049[分类],"食材",支出明细26049[支出明细])</f>
        <v>18679.92</v>
      </c>
      <c r="C24" s="16">
        <f>$B$24/$B$4</f>
        <v>0.475615075025544</v>
      </c>
    </row>
    <row r="25" customHeight="1" spans="1:3">
      <c r="A25" s="15" t="s">
        <v>68</v>
      </c>
      <c r="B25" s="14">
        <f>SUMIF(支出明细26049[分类],"工资",支出明细26049[支出明细])</f>
        <v>12000</v>
      </c>
      <c r="C25" s="16">
        <f>$B$25/$B$4</f>
        <v>0.305535617941968</v>
      </c>
    </row>
    <row r="26" customHeight="1" spans="1:3">
      <c r="A26" s="15" t="s">
        <v>6</v>
      </c>
      <c r="B26" s="14">
        <f>SUMIF(支出明细26049[分类],"房租",支出明细26049[支出明细])</f>
        <v>4333</v>
      </c>
      <c r="C26" s="16">
        <f>$B$26/$B$4</f>
        <v>0.110323819378546</v>
      </c>
    </row>
    <row r="27" customHeight="1" spans="1:3">
      <c r="A27" s="15" t="s">
        <v>32</v>
      </c>
      <c r="B27" s="14">
        <f>SUMIF(支出明细26049[分类],"推广",支出明细26049[支出明细])</f>
        <v>557.17</v>
      </c>
      <c r="C27" s="16">
        <f>$B$27/$B$4</f>
        <v>0.0141862733540605</v>
      </c>
    </row>
    <row r="28" customHeight="1" spans="1:3">
      <c r="A28" s="15" t="s">
        <v>37</v>
      </c>
      <c r="B28" s="14">
        <f>SUMIF(支出明细26049[分类],"水电",支出明细26049[支出明细])</f>
        <v>2956.2</v>
      </c>
      <c r="C28" s="16">
        <f>$B$28/$B$4</f>
        <v>0.0752686994800039</v>
      </c>
    </row>
    <row r="29" customHeight="1" spans="1:3">
      <c r="A29" s="15" t="s">
        <v>14</v>
      </c>
      <c r="B29" s="14">
        <f>SUMIF(支出明细26049[分类],"其他",支出明细26049[支出明细])</f>
        <v>749</v>
      </c>
      <c r="C29" s="16">
        <f>$B$29/$B$4</f>
        <v>0.0190705148198778</v>
      </c>
    </row>
    <row r="30" customHeight="1" spans="1:3">
      <c r="A30" s="44" t="s">
        <v>65</v>
      </c>
      <c r="B30" s="30">
        <f>SUM(B24:B29)</f>
        <v>39275.29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6912.86</v>
      </c>
      <c r="B34" s="32" t="s">
        <v>62</v>
      </c>
      <c r="C34" s="33" t="s">
        <v>136</v>
      </c>
    </row>
    <row r="35" customHeight="1" spans="1:3">
      <c r="A35" s="34">
        <v>94.88</v>
      </c>
      <c r="B35" s="32" t="s">
        <v>62</v>
      </c>
      <c r="C35" s="33" t="s">
        <v>137</v>
      </c>
    </row>
    <row r="36" customHeight="1" spans="1:3">
      <c r="A36" s="34">
        <v>2317.44</v>
      </c>
      <c r="B36" s="32" t="s">
        <v>63</v>
      </c>
      <c r="C36" s="33"/>
    </row>
    <row r="37" customHeight="1" spans="1:3">
      <c r="A37" s="34">
        <v>5819.11</v>
      </c>
      <c r="B37" s="32" t="s">
        <v>64</v>
      </c>
      <c r="C37" s="33"/>
    </row>
    <row r="38" customHeight="1" spans="1:3">
      <c r="A38" s="34">
        <v>10340.77</v>
      </c>
      <c r="B38" s="32" t="s">
        <v>60</v>
      </c>
      <c r="C38" s="33"/>
    </row>
    <row r="39" customHeight="1" spans="1:3">
      <c r="A39" s="34">
        <v>15533.62</v>
      </c>
      <c r="B39" s="32" t="s">
        <v>61</v>
      </c>
      <c r="C39" s="33"/>
    </row>
    <row r="40" customHeight="1" spans="1:3">
      <c r="A40" s="1">
        <v>26.9</v>
      </c>
      <c r="B40" s="35" t="s">
        <v>135</v>
      </c>
      <c r="C40" s="36"/>
    </row>
    <row r="41" customHeight="1" spans="1:3">
      <c r="A41" s="1"/>
      <c r="B41" s="35"/>
      <c r="C41" s="37"/>
    </row>
    <row r="42" customHeight="1" spans="1:3">
      <c r="A42" s="1"/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12000</v>
      </c>
      <c r="B45" s="33" t="s">
        <v>68</v>
      </c>
      <c r="C45" s="33" t="s">
        <v>160</v>
      </c>
    </row>
    <row r="46" customHeight="1" spans="1:3">
      <c r="A46" s="1">
        <v>2956.2</v>
      </c>
      <c r="B46" s="33" t="s">
        <v>37</v>
      </c>
      <c r="C46" s="33" t="s">
        <v>160</v>
      </c>
    </row>
    <row r="47" customHeight="1" spans="1:3">
      <c r="A47" s="1">
        <v>2000</v>
      </c>
      <c r="B47" s="32" t="s">
        <v>25</v>
      </c>
      <c r="C47" s="33" t="s">
        <v>161</v>
      </c>
    </row>
    <row r="48" customHeight="1" spans="1:3">
      <c r="A48" s="1">
        <v>915</v>
      </c>
      <c r="B48" s="2" t="s">
        <v>25</v>
      </c>
      <c r="C48" s="2" t="s">
        <v>162</v>
      </c>
    </row>
    <row r="49" customHeight="1" spans="1:3">
      <c r="A49" s="1">
        <v>601.92</v>
      </c>
      <c r="B49" s="2" t="s">
        <v>25</v>
      </c>
      <c r="C49" s="2" t="s">
        <v>112</v>
      </c>
    </row>
    <row r="50" customHeight="1" spans="1:3">
      <c r="A50" s="1">
        <v>200</v>
      </c>
      <c r="B50" s="2" t="s">
        <v>14</v>
      </c>
      <c r="C50" s="2" t="s">
        <v>163</v>
      </c>
    </row>
    <row r="51" customHeight="1" spans="1:3">
      <c r="A51" s="1">
        <v>678</v>
      </c>
      <c r="B51" s="2" t="s">
        <v>25</v>
      </c>
      <c r="C51" s="2" t="s">
        <v>164</v>
      </c>
    </row>
    <row r="52" customHeight="1" spans="1:3">
      <c r="A52" s="1">
        <v>6795</v>
      </c>
      <c r="B52" s="2" t="s">
        <v>25</v>
      </c>
      <c r="C52" s="2" t="s">
        <v>165</v>
      </c>
    </row>
    <row r="53" customHeight="1" spans="1:3">
      <c r="A53" s="1">
        <v>50</v>
      </c>
      <c r="B53" s="2" t="s">
        <v>14</v>
      </c>
      <c r="C53" s="2" t="s">
        <v>144</v>
      </c>
    </row>
    <row r="54" customHeight="1" spans="1:3">
      <c r="A54" s="1">
        <v>500</v>
      </c>
      <c r="B54" s="2" t="s">
        <v>25</v>
      </c>
      <c r="C54" s="2" t="s">
        <v>166</v>
      </c>
    </row>
    <row r="55" customHeight="1" spans="1:3">
      <c r="A55" s="1">
        <v>300</v>
      </c>
      <c r="B55" s="2" t="s">
        <v>32</v>
      </c>
      <c r="C55" s="2" t="s">
        <v>167</v>
      </c>
    </row>
    <row r="56" customHeight="1" spans="1:3">
      <c r="A56" s="1">
        <v>860</v>
      </c>
      <c r="B56" s="2" t="s">
        <v>25</v>
      </c>
      <c r="C56" s="2" t="s">
        <v>168</v>
      </c>
    </row>
    <row r="57" customHeight="1" spans="1:3">
      <c r="A57" s="1">
        <v>499</v>
      </c>
      <c r="B57" s="2" t="s">
        <v>14</v>
      </c>
      <c r="C57" s="2" t="s">
        <v>169</v>
      </c>
    </row>
    <row r="58" customHeight="1" spans="1:3">
      <c r="A58" s="1">
        <v>214.9</v>
      </c>
      <c r="B58" s="2" t="s">
        <v>25</v>
      </c>
      <c r="C58" s="2" t="s">
        <v>170</v>
      </c>
    </row>
    <row r="59" customHeight="1" spans="1:3">
      <c r="A59" s="1">
        <v>100</v>
      </c>
      <c r="B59" s="2" t="s">
        <v>32</v>
      </c>
      <c r="C59" s="2" t="s">
        <v>171</v>
      </c>
    </row>
    <row r="60" customHeight="1" spans="1:3">
      <c r="A60" s="1">
        <v>4282</v>
      </c>
      <c r="B60" s="2" t="s">
        <v>25</v>
      </c>
      <c r="C60" s="2" t="s">
        <v>172</v>
      </c>
    </row>
    <row r="61" customHeight="1" spans="1:3">
      <c r="A61" s="1">
        <v>38.92</v>
      </c>
      <c r="B61" s="2" t="s">
        <v>32</v>
      </c>
      <c r="C61" s="2" t="s">
        <v>173</v>
      </c>
    </row>
    <row r="62" customHeight="1" spans="1:3">
      <c r="A62" s="1">
        <v>38.3</v>
      </c>
      <c r="B62" s="2" t="s">
        <v>25</v>
      </c>
      <c r="C62" s="2" t="s">
        <v>174</v>
      </c>
    </row>
    <row r="63" customHeight="1" spans="1:3">
      <c r="A63" s="1">
        <v>38.1</v>
      </c>
      <c r="B63" s="2" t="s">
        <v>25</v>
      </c>
      <c r="C63" s="2" t="s">
        <v>175</v>
      </c>
    </row>
    <row r="64" customHeight="1" spans="1:3">
      <c r="A64" s="1">
        <v>635</v>
      </c>
      <c r="B64" s="2" t="s">
        <v>25</v>
      </c>
      <c r="C64" s="2" t="s">
        <v>166</v>
      </c>
    </row>
    <row r="65" customHeight="1" spans="1:3">
      <c r="A65" s="1">
        <v>482</v>
      </c>
      <c r="B65" s="2" t="s">
        <v>25</v>
      </c>
      <c r="C65" s="2" t="s">
        <v>168</v>
      </c>
    </row>
    <row r="66" customHeight="1" spans="1:3">
      <c r="A66" s="1">
        <v>100</v>
      </c>
      <c r="B66" s="2" t="s">
        <v>32</v>
      </c>
      <c r="C66" s="2" t="s">
        <v>111</v>
      </c>
    </row>
    <row r="67" customHeight="1" spans="1:3">
      <c r="A67" s="1">
        <v>291.46</v>
      </c>
      <c r="B67" s="2" t="s">
        <v>25</v>
      </c>
      <c r="C67" s="2" t="s">
        <v>176</v>
      </c>
    </row>
    <row r="68" customHeight="1" spans="1:3">
      <c r="A68" s="1">
        <v>296.64</v>
      </c>
      <c r="B68" s="2" t="s">
        <v>25</v>
      </c>
      <c r="C68" s="2" t="s">
        <v>176</v>
      </c>
    </row>
    <row r="69" customHeight="1" spans="1:3">
      <c r="A69" s="1">
        <v>18.25</v>
      </c>
      <c r="B69" s="2" t="s">
        <v>32</v>
      </c>
      <c r="C69" s="2" t="s">
        <v>173</v>
      </c>
    </row>
    <row r="70" customHeight="1" spans="1:3">
      <c r="A70" s="1">
        <v>51.6</v>
      </c>
      <c r="B70" s="2" t="s">
        <v>25</v>
      </c>
      <c r="C70" s="2" t="s">
        <v>115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50 B51 B52 B53 B54 B55 B56 B57 B58 B59 B60 B61 B62 B63 B64 B65 B66 B67 B68 B69 B70 B2:B7 B44:B47 B48:B49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76"/>
  <sheetViews>
    <sheetView topLeftCell="A15" workbookViewId="0">
      <selection activeCell="D28" sqref="D28"/>
    </sheetView>
  </sheetViews>
  <sheetFormatPr defaultColWidth="30.625" defaultRowHeight="25.15" customHeight="1" outlineLevelCol="2"/>
  <cols>
    <col min="1" max="1" width="30.625" style="1" customWidth="1"/>
    <col min="2" max="2" width="30.625" style="2" customWidth="1"/>
    <col min="3" max="16384" width="30.625" style="2"/>
  </cols>
  <sheetData>
    <row r="1" customHeight="1" spans="1:3">
      <c r="A1" s="3" t="s">
        <v>44</v>
      </c>
      <c r="B1" s="4"/>
      <c r="C1" s="4"/>
    </row>
    <row r="2" customHeight="1" spans="1:3">
      <c r="A2" s="5" t="s">
        <v>45</v>
      </c>
      <c r="B2" s="6" t="s">
        <v>46</v>
      </c>
      <c r="C2" s="6" t="s">
        <v>47</v>
      </c>
    </row>
    <row r="3" customHeight="1" spans="1:3">
      <c r="A3" s="7" t="s">
        <v>48</v>
      </c>
      <c r="B3" s="8">
        <f>SUM(收入明细260410_12[收入明细])</f>
        <v>40085.6</v>
      </c>
      <c r="C3" s="9" t="s">
        <v>49</v>
      </c>
    </row>
    <row r="4" customHeight="1" spans="1:3">
      <c r="A4" s="10" t="s">
        <v>50</v>
      </c>
      <c r="B4" s="11">
        <f>SUM(支出明细26049_11[支出明细])</f>
        <v>39707.93</v>
      </c>
      <c r="C4" s="12" t="s">
        <v>49</v>
      </c>
    </row>
    <row r="5" customHeight="1" spans="1:3">
      <c r="A5" s="13" t="s">
        <v>51</v>
      </c>
      <c r="B5" s="14">
        <f>$B$3-SUMIF(支出明细26049_11[分类],"食材",支出明细26049_11[支出明细])</f>
        <v>20894.17</v>
      </c>
      <c r="C5" s="15" t="s">
        <v>49</v>
      </c>
    </row>
    <row r="6" customHeight="1" spans="1:3">
      <c r="A6" s="13" t="s">
        <v>52</v>
      </c>
      <c r="B6" s="14">
        <f>$B$3-$B$4</f>
        <v>377.669999999998</v>
      </c>
      <c r="C6" s="15" t="s">
        <v>49</v>
      </c>
    </row>
    <row r="7" customHeight="1" spans="1:3">
      <c r="A7" s="13" t="s">
        <v>53</v>
      </c>
      <c r="B7" s="16">
        <f>$B$5/$B$3</f>
        <v>0.521238798970204</v>
      </c>
      <c r="C7" s="15" t="s">
        <v>54</v>
      </c>
    </row>
    <row r="8" customHeight="1" spans="1:3">
      <c r="A8" s="13" t="s">
        <v>55</v>
      </c>
      <c r="B8" s="16">
        <f>$B$6/$B$3</f>
        <v>0.00942158780210346</v>
      </c>
      <c r="C8" s="15" t="s">
        <v>54</v>
      </c>
    </row>
    <row r="9" customHeight="1" spans="2:3">
      <c r="B9" s="4"/>
      <c r="C9" s="4"/>
    </row>
    <row r="10" customHeight="1" spans="2:3">
      <c r="B10" s="4"/>
      <c r="C10" s="4"/>
    </row>
    <row r="11" customHeight="1" spans="1:3">
      <c r="A11" s="17" t="s">
        <v>56</v>
      </c>
      <c r="B11" s="4"/>
      <c r="C11" s="4"/>
    </row>
    <row r="12" customHeight="1" spans="1:3">
      <c r="A12" s="18" t="s">
        <v>57</v>
      </c>
      <c r="B12" s="19" t="s">
        <v>58</v>
      </c>
      <c r="C12" s="19" t="s">
        <v>59</v>
      </c>
    </row>
    <row r="13" customHeight="1" spans="1:3">
      <c r="A13" s="13" t="s">
        <v>60</v>
      </c>
      <c r="B13" s="14">
        <f>SUMIF(收入明细260410_12[分类],"淘宝外卖",收入明细260410_12[收入明细])</f>
        <v>11764.03</v>
      </c>
      <c r="C13" s="16">
        <f>$B$13/$B$3</f>
        <v>0.293472718382661</v>
      </c>
    </row>
    <row r="14" customHeight="1" spans="1:3">
      <c r="A14" s="13" t="s">
        <v>61</v>
      </c>
      <c r="B14" s="14">
        <f>SUMIF(收入明细260410_12[分类],"美团外卖",收入明细260410_12[收入明细])</f>
        <v>15201.98</v>
      </c>
      <c r="C14" s="16">
        <f>$B$14/$B$3</f>
        <v>0.379237930828028</v>
      </c>
    </row>
    <row r="15" customHeight="1" spans="1:3">
      <c r="A15" s="13" t="s">
        <v>135</v>
      </c>
      <c r="B15" s="14">
        <f>SUMIF(收入明细260410_12[分类],"抖音来客",收入明细260410_12[收入明细])</f>
        <v>35.88</v>
      </c>
      <c r="C15" s="16">
        <f>$B$15/$B$3</f>
        <v>0.000895084519129064</v>
      </c>
    </row>
    <row r="16" customHeight="1" spans="1:3">
      <c r="A16" s="13" t="s">
        <v>62</v>
      </c>
      <c r="B16" s="14">
        <f>SUMIF(收入明细260410_12[分类],"微信堂食",收入明细260410_12[收入明细])</f>
        <v>5501.92</v>
      </c>
      <c r="C16" s="16">
        <f>$B$16/$B$3</f>
        <v>0.137254275849682</v>
      </c>
    </row>
    <row r="17" customHeight="1" spans="1:3">
      <c r="A17" s="13" t="s">
        <v>63</v>
      </c>
      <c r="B17" s="14">
        <f>SUMIF(收入明细260410_12[分类],"支付宝堂食",收入明细260410_12[收入明细])</f>
        <v>3345.32</v>
      </c>
      <c r="C17" s="16">
        <f>$B$17/$B$3</f>
        <v>0.0834544075678049</v>
      </c>
    </row>
    <row r="18" customHeight="1" spans="1:3">
      <c r="A18" s="13" t="s">
        <v>64</v>
      </c>
      <c r="B18" s="14">
        <f>SUMIF(收入明细260410_12[分类],"京东外卖",收入明细260410_12[收入明细])</f>
        <v>4236.47</v>
      </c>
      <c r="C18" s="16">
        <f>$B$18/$B$3</f>
        <v>0.105685582852695</v>
      </c>
    </row>
    <row r="19" customHeight="1" spans="1:3">
      <c r="A19" s="20" t="s">
        <v>65</v>
      </c>
      <c r="B19" s="21">
        <f>SUM(B13:B18)</f>
        <v>40085.6</v>
      </c>
      <c r="C19" s="22">
        <f>SUM($C$13:$C$18)</f>
        <v>1</v>
      </c>
    </row>
    <row r="20" customFormat="1" customHeight="1" spans="1:1">
      <c r="A20" s="23"/>
    </row>
    <row r="21" customFormat="1" customHeight="1" spans="1:1">
      <c r="A21" s="23"/>
    </row>
    <row r="22" customHeight="1" spans="1:3">
      <c r="A22" s="24" t="s">
        <v>66</v>
      </c>
      <c r="B22" s="25"/>
      <c r="C22" s="25"/>
    </row>
    <row r="23" customHeight="1" spans="1:3">
      <c r="A23" s="26" t="s">
        <v>67</v>
      </c>
      <c r="B23" s="27"/>
      <c r="C23" s="28"/>
    </row>
    <row r="24" customHeight="1" spans="1:3">
      <c r="A24" s="13" t="s">
        <v>25</v>
      </c>
      <c r="B24" s="14">
        <f>SUMIF(支出明细26049_11[分类],"食材",支出明细26049_11[支出明细])</f>
        <v>19191.43</v>
      </c>
      <c r="C24" s="16">
        <f>$B$24/$B$4</f>
        <v>0.483314793795597</v>
      </c>
    </row>
    <row r="25" customHeight="1" spans="1:3">
      <c r="A25" s="13" t="s">
        <v>68</v>
      </c>
      <c r="B25" s="14">
        <f>SUMIF(支出明细26049_11[分类],"工资",支出明细26049_11[支出明细])</f>
        <v>12000</v>
      </c>
      <c r="C25" s="16">
        <f>$B$25/$B$4</f>
        <v>0.302206637314008</v>
      </c>
    </row>
    <row r="26" customHeight="1" spans="1:3">
      <c r="A26" s="13" t="s">
        <v>6</v>
      </c>
      <c r="B26" s="14">
        <f>SUMIF(支出明细26049_11[分类],"房租",支出明细26049_11[支出明细])</f>
        <v>4333</v>
      </c>
      <c r="C26" s="16">
        <f>$B$26/$B$4</f>
        <v>0.1091217799568</v>
      </c>
    </row>
    <row r="27" customHeight="1" spans="1:3">
      <c r="A27" s="13" t="s">
        <v>32</v>
      </c>
      <c r="B27" s="14">
        <f>SUMIF(支出明细26049_11[分类],"推广",支出明细26049_11[支出明细])</f>
        <v>1342.4</v>
      </c>
      <c r="C27" s="16">
        <f>$B$27/$B$4</f>
        <v>0.0338068491608603</v>
      </c>
    </row>
    <row r="28" customHeight="1" spans="1:3">
      <c r="A28" s="13" t="s">
        <v>37</v>
      </c>
      <c r="B28" s="14">
        <f>SUMIF(支出明细26049_11[分类],"水电",支出明细26049_11[支出明细])</f>
        <v>2641.1</v>
      </c>
      <c r="C28" s="16">
        <f>$B$28/$B$4</f>
        <v>0.0665131624841688</v>
      </c>
    </row>
    <row r="29" customHeight="1" spans="1:3">
      <c r="A29" s="13" t="s">
        <v>14</v>
      </c>
      <c r="B29" s="14">
        <f>SUMIF(支出明细26049_11[分类],"其他",支出明细26049_11[支出明细])</f>
        <v>200</v>
      </c>
      <c r="C29" s="16">
        <f>$B$29/$B$4</f>
        <v>0.00503677728856679</v>
      </c>
    </row>
    <row r="30" customHeight="1" spans="1:3">
      <c r="A30" s="29" t="s">
        <v>65</v>
      </c>
      <c r="B30" s="30">
        <f>SUM(B24:B29)</f>
        <v>39707.93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5501.92</v>
      </c>
      <c r="B34" s="32" t="s">
        <v>62</v>
      </c>
      <c r="C34" s="33" t="s">
        <v>136</v>
      </c>
    </row>
    <row r="35" customHeight="1" spans="1:3">
      <c r="A35" s="34">
        <v>0</v>
      </c>
      <c r="B35" s="32" t="s">
        <v>62</v>
      </c>
      <c r="C35" s="33" t="s">
        <v>137</v>
      </c>
    </row>
    <row r="36" customHeight="1" spans="1:3">
      <c r="A36" s="34">
        <v>3345.32</v>
      </c>
      <c r="B36" s="32" t="s">
        <v>63</v>
      </c>
      <c r="C36" s="33"/>
    </row>
    <row r="37" customHeight="1" spans="1:3">
      <c r="A37" s="34">
        <v>4236.47</v>
      </c>
      <c r="B37" s="32" t="s">
        <v>64</v>
      </c>
      <c r="C37" s="33"/>
    </row>
    <row r="38" customHeight="1" spans="1:3">
      <c r="A38" s="34">
        <v>11764.03</v>
      </c>
      <c r="B38" s="32" t="s">
        <v>60</v>
      </c>
      <c r="C38" s="33"/>
    </row>
    <row r="39" customHeight="1" spans="1:3">
      <c r="A39" s="34">
        <v>15201.98</v>
      </c>
      <c r="B39" s="32" t="s">
        <v>61</v>
      </c>
      <c r="C39" s="33"/>
    </row>
    <row r="40" customHeight="1" spans="1:3">
      <c r="A40" s="1">
        <v>35.88</v>
      </c>
      <c r="B40" s="35" t="s">
        <v>135</v>
      </c>
      <c r="C40" s="36"/>
    </row>
    <row r="41" customHeight="1" spans="2:3">
      <c r="B41" s="35"/>
      <c r="C41" s="37"/>
    </row>
    <row r="42" customHeight="1" spans="2:3"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hidden="1" customHeight="1" spans="1:3">
      <c r="A44" s="1">
        <v>4333</v>
      </c>
      <c r="B44" s="33" t="s">
        <v>6</v>
      </c>
      <c r="C44" s="33" t="s">
        <v>72</v>
      </c>
    </row>
    <row r="45" hidden="1" customHeight="1" spans="1:3">
      <c r="A45" s="1">
        <v>12000</v>
      </c>
      <c r="B45" s="33" t="s">
        <v>68</v>
      </c>
      <c r="C45" s="33" t="s">
        <v>73</v>
      </c>
    </row>
    <row r="46" hidden="1" customHeight="1" spans="1:3">
      <c r="A46" s="1">
        <v>2641.1</v>
      </c>
      <c r="B46" s="33" t="s">
        <v>37</v>
      </c>
      <c r="C46" s="33" t="s">
        <v>37</v>
      </c>
    </row>
    <row r="47" customHeight="1" spans="1:3">
      <c r="A47" s="1">
        <v>423</v>
      </c>
      <c r="B47" s="2" t="s">
        <v>25</v>
      </c>
      <c r="C47" s="2" t="s">
        <v>177</v>
      </c>
    </row>
    <row r="48" customHeight="1" spans="1:3">
      <c r="A48" s="1">
        <v>130</v>
      </c>
      <c r="B48" s="2" t="s">
        <v>25</v>
      </c>
      <c r="C48" s="2" t="s">
        <v>177</v>
      </c>
    </row>
    <row r="49" customHeight="1" spans="1:3">
      <c r="A49" s="1">
        <v>465</v>
      </c>
      <c r="B49" s="2" t="s">
        <v>25</v>
      </c>
      <c r="C49" s="2" t="s">
        <v>178</v>
      </c>
    </row>
    <row r="50" customHeight="1" spans="1:3">
      <c r="A50" s="1">
        <v>6586</v>
      </c>
      <c r="B50" s="2" t="s">
        <v>25</v>
      </c>
      <c r="C50" s="2" t="s">
        <v>179</v>
      </c>
    </row>
    <row r="51" customHeight="1" spans="1:3">
      <c r="A51" s="1">
        <v>103.59</v>
      </c>
      <c r="B51" s="2" t="s">
        <v>25</v>
      </c>
      <c r="C51" s="2" t="s">
        <v>180</v>
      </c>
    </row>
    <row r="52" hidden="1" customHeight="1" spans="1:3">
      <c r="A52" s="1">
        <v>1230</v>
      </c>
      <c r="B52" s="2" t="s">
        <v>32</v>
      </c>
      <c r="C52" s="2" t="s">
        <v>181</v>
      </c>
    </row>
    <row r="53" customHeight="1" spans="1:3">
      <c r="A53" s="1">
        <v>2000</v>
      </c>
      <c r="B53" s="2" t="s">
        <v>25</v>
      </c>
      <c r="C53" s="2" t="s">
        <v>26</v>
      </c>
    </row>
    <row r="54" hidden="1" customHeight="1" spans="1:3">
      <c r="A54" s="1">
        <v>200</v>
      </c>
      <c r="B54" s="2" t="s">
        <v>14</v>
      </c>
      <c r="C54" s="2" t="s">
        <v>163</v>
      </c>
    </row>
    <row r="55" customHeight="1" spans="1:3">
      <c r="A55" s="1">
        <v>230</v>
      </c>
      <c r="B55" s="2" t="s">
        <v>25</v>
      </c>
      <c r="C55" s="2" t="s">
        <v>182</v>
      </c>
    </row>
    <row r="56" customHeight="1" spans="1:3">
      <c r="A56" s="1">
        <v>490</v>
      </c>
      <c r="B56" s="2" t="s">
        <v>25</v>
      </c>
      <c r="C56" s="2" t="s">
        <v>183</v>
      </c>
    </row>
    <row r="57" customHeight="1" spans="1:3">
      <c r="A57" s="1">
        <v>312</v>
      </c>
      <c r="B57" s="2" t="s">
        <v>25</v>
      </c>
      <c r="C57" s="2" t="s">
        <v>178</v>
      </c>
    </row>
    <row r="58" hidden="1" customHeight="1" spans="1:3">
      <c r="A58" s="1">
        <v>73.2</v>
      </c>
      <c r="B58" s="2" t="s">
        <v>32</v>
      </c>
      <c r="C58" s="2" t="s">
        <v>184</v>
      </c>
    </row>
    <row r="59" customHeight="1" spans="1:3">
      <c r="A59" s="1">
        <v>40</v>
      </c>
      <c r="B59" s="2" t="s">
        <v>25</v>
      </c>
      <c r="C59" s="2" t="s">
        <v>185</v>
      </c>
    </row>
    <row r="60" customHeight="1" spans="1:3">
      <c r="A60" s="1">
        <v>20</v>
      </c>
      <c r="B60" s="2" t="s">
        <v>25</v>
      </c>
      <c r="C60" s="2" t="s">
        <v>186</v>
      </c>
    </row>
    <row r="61" hidden="1" customHeight="1" spans="1:3">
      <c r="A61" s="1">
        <v>19.2</v>
      </c>
      <c r="B61" s="2" t="s">
        <v>32</v>
      </c>
      <c r="C61" s="2" t="s">
        <v>187</v>
      </c>
    </row>
    <row r="62" customHeight="1" spans="1:3">
      <c r="A62" s="1">
        <v>900</v>
      </c>
      <c r="B62" s="2" t="s">
        <v>25</v>
      </c>
      <c r="C62" s="2" t="s">
        <v>188</v>
      </c>
    </row>
    <row r="63" customHeight="1" spans="1:3">
      <c r="A63" s="1">
        <v>281.09</v>
      </c>
      <c r="B63" s="2" t="s">
        <v>25</v>
      </c>
      <c r="C63" s="2" t="s">
        <v>176</v>
      </c>
    </row>
    <row r="64" customHeight="1" spans="1:3">
      <c r="A64" s="1">
        <v>284.65</v>
      </c>
      <c r="B64" s="2" t="s">
        <v>25</v>
      </c>
      <c r="C64" s="2" t="s">
        <v>176</v>
      </c>
    </row>
    <row r="65" customHeight="1" spans="1:3">
      <c r="A65" s="1">
        <v>41.1</v>
      </c>
      <c r="B65" s="2" t="s">
        <v>25</v>
      </c>
      <c r="C65" s="2" t="s">
        <v>189</v>
      </c>
    </row>
    <row r="66" customHeight="1" spans="1:3">
      <c r="A66" s="1">
        <v>56</v>
      </c>
      <c r="B66" s="2" t="s">
        <v>25</v>
      </c>
      <c r="C66" s="2" t="s">
        <v>190</v>
      </c>
    </row>
    <row r="67" customHeight="1" spans="1:3">
      <c r="A67" s="1">
        <v>50</v>
      </c>
      <c r="B67" s="2" t="s">
        <v>25</v>
      </c>
      <c r="C67" s="2" t="s">
        <v>191</v>
      </c>
    </row>
    <row r="68" customHeight="1" spans="1:3">
      <c r="A68" s="1">
        <v>38</v>
      </c>
      <c r="B68" s="2" t="s">
        <v>25</v>
      </c>
      <c r="C68" s="2" t="s">
        <v>192</v>
      </c>
    </row>
    <row r="69" hidden="1" customHeight="1" spans="1:3">
      <c r="A69" s="1">
        <v>20</v>
      </c>
      <c r="B69" s="2" t="s">
        <v>32</v>
      </c>
      <c r="C69" s="2" t="s">
        <v>173</v>
      </c>
    </row>
    <row r="70" customHeight="1" spans="1:3">
      <c r="A70" s="1">
        <v>56</v>
      </c>
      <c r="B70" s="2" t="s">
        <v>25</v>
      </c>
      <c r="C70" s="2" t="s">
        <v>190</v>
      </c>
    </row>
    <row r="71" customHeight="1" spans="1:3">
      <c r="A71" s="1">
        <v>6000</v>
      </c>
      <c r="B71" s="2" t="s">
        <v>25</v>
      </c>
      <c r="C71" s="2" t="s">
        <v>172</v>
      </c>
    </row>
    <row r="72" customHeight="1" spans="1:3">
      <c r="A72" s="1">
        <v>270</v>
      </c>
      <c r="B72" s="2" t="s">
        <v>25</v>
      </c>
      <c r="C72" s="2" t="s">
        <v>193</v>
      </c>
    </row>
    <row r="73" customHeight="1" spans="1:3">
      <c r="A73" s="1">
        <v>70</v>
      </c>
      <c r="B73" s="2" t="s">
        <v>25</v>
      </c>
      <c r="C73" s="2" t="s">
        <v>194</v>
      </c>
    </row>
    <row r="74" customHeight="1" spans="1:3">
      <c r="A74" s="1">
        <v>57</v>
      </c>
      <c r="B74" s="2" t="s">
        <v>25</v>
      </c>
      <c r="C74" s="2" t="s">
        <v>194</v>
      </c>
    </row>
    <row r="75" customHeight="1" spans="1:3">
      <c r="A75" s="1">
        <v>38</v>
      </c>
      <c r="B75" s="2" t="s">
        <v>25</v>
      </c>
      <c r="C75" s="2" t="s">
        <v>195</v>
      </c>
    </row>
    <row r="76" customHeight="1" spans="1:3">
      <c r="A76" s="1">
        <v>250</v>
      </c>
      <c r="B76" s="2" t="s">
        <v>25</v>
      </c>
      <c r="C76" s="2" t="s">
        <v>196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47 B48 B49 B50 B51 B52 B53 B54 B55 B56 B57 B58 B59 B60 B61 B62 B63 B64 B65 B66 B67 B68 B69 B70 B71 B76 B2:B7 B44:B46 B72:B73 B74:B75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66"/>
  <sheetViews>
    <sheetView topLeftCell="A8" workbookViewId="0">
      <selection activeCell="A11" sqref="A11:C11"/>
    </sheetView>
  </sheetViews>
  <sheetFormatPr defaultColWidth="30.625" defaultRowHeight="25.15" customHeight="1" outlineLevelCol="2"/>
  <cols>
    <col min="1" max="1" width="30.625" style="1" customWidth="1"/>
    <col min="2" max="2" width="30.625" style="2" customWidth="1"/>
    <col min="3" max="16384" width="30.625" style="2"/>
  </cols>
  <sheetData>
    <row r="1" customHeight="1" spans="1:3">
      <c r="A1" s="3" t="s">
        <v>44</v>
      </c>
      <c r="B1" s="4"/>
      <c r="C1" s="4"/>
    </row>
    <row r="2" customHeight="1" spans="1:3">
      <c r="A2" s="5" t="s">
        <v>45</v>
      </c>
      <c r="B2" s="6" t="s">
        <v>46</v>
      </c>
      <c r="C2" s="6" t="s">
        <v>47</v>
      </c>
    </row>
    <row r="3" customHeight="1" spans="1:3">
      <c r="A3" s="7" t="s">
        <v>48</v>
      </c>
      <c r="B3" s="8">
        <f>SUM(收入明细260410_1220[收入明细])</f>
        <v>37515.39</v>
      </c>
      <c r="C3" s="9" t="s">
        <v>49</v>
      </c>
    </row>
    <row r="4" customHeight="1" spans="1:3">
      <c r="A4" s="10" t="s">
        <v>50</v>
      </c>
      <c r="B4" s="11">
        <f>SUM(支出明细26049_1119[支出明细])</f>
        <v>43290.87</v>
      </c>
      <c r="C4" s="12" t="s">
        <v>49</v>
      </c>
    </row>
    <row r="5" customHeight="1" spans="1:3">
      <c r="A5" s="13" t="s">
        <v>51</v>
      </c>
      <c r="B5" s="14">
        <f>$B$3-SUMIF(支出明细26049_1119[分类],"食材",支出明细26049_1119[支出明细])</f>
        <v>14295.42</v>
      </c>
      <c r="C5" s="15" t="s">
        <v>49</v>
      </c>
    </row>
    <row r="6" customHeight="1" spans="1:3">
      <c r="A6" s="13" t="s">
        <v>52</v>
      </c>
      <c r="B6" s="14">
        <f>$B$3-$B$4</f>
        <v>-5775.48</v>
      </c>
      <c r="C6" s="15" t="s">
        <v>49</v>
      </c>
    </row>
    <row r="7" customHeight="1" spans="1:3">
      <c r="A7" s="13" t="s">
        <v>53</v>
      </c>
      <c r="B7" s="16">
        <f>$B$5/$B$3</f>
        <v>0.381054815103881</v>
      </c>
      <c r="C7" s="15" t="s">
        <v>54</v>
      </c>
    </row>
    <row r="8" customHeight="1" spans="1:3">
      <c r="A8" s="13" t="s">
        <v>55</v>
      </c>
      <c r="B8" s="16">
        <f>$B$6/$B$3</f>
        <v>-0.153949619076331</v>
      </c>
      <c r="C8" s="15" t="s">
        <v>54</v>
      </c>
    </row>
    <row r="9" customHeight="1" spans="2:3">
      <c r="B9" s="4"/>
      <c r="C9" s="4"/>
    </row>
    <row r="10" customHeight="1" spans="2:3">
      <c r="B10" s="4"/>
      <c r="C10" s="4"/>
    </row>
    <row r="11" customHeight="1" spans="1:3">
      <c r="A11" s="17" t="s">
        <v>56</v>
      </c>
      <c r="B11" s="4"/>
      <c r="C11" s="4"/>
    </row>
    <row r="12" customHeight="1" spans="1:3">
      <c r="A12" s="18" t="s">
        <v>57</v>
      </c>
      <c r="B12" s="19" t="s">
        <v>58</v>
      </c>
      <c r="C12" s="19" t="s">
        <v>59</v>
      </c>
    </row>
    <row r="13" customHeight="1" spans="1:3">
      <c r="A13" s="13" t="s">
        <v>60</v>
      </c>
      <c r="B13" s="14">
        <f>SUMIF(收入明细260410_1220[分类],"淘宝外卖",收入明细260410_1220[收入明细])</f>
        <v>14634.39</v>
      </c>
      <c r="C13" s="16">
        <f>$B$13/$B$3</f>
        <v>0.390090306938033</v>
      </c>
    </row>
    <row r="14" customHeight="1" spans="1:3">
      <c r="A14" s="13" t="s">
        <v>61</v>
      </c>
      <c r="B14" s="14">
        <f>SUMIF(收入明细260410_1220[分类],"美团外卖",收入明细260410_1220[收入明细])</f>
        <v>13953.1</v>
      </c>
      <c r="C14" s="16">
        <f>$B$14/$B$3</f>
        <v>0.371930026583757</v>
      </c>
    </row>
    <row r="15" customHeight="1" spans="1:3">
      <c r="A15" s="13" t="s">
        <v>135</v>
      </c>
      <c r="B15" s="14">
        <f>SUMIF(收入明细260410_1220[分类],"抖音来客",收入明细260410_1220[收入明细])</f>
        <v>46.9</v>
      </c>
      <c r="C15" s="16">
        <f>$B$15/$B$3</f>
        <v>0.00125015360362774</v>
      </c>
    </row>
    <row r="16" customHeight="1" spans="1:3">
      <c r="A16" s="13" t="s">
        <v>62</v>
      </c>
      <c r="B16" s="14">
        <f>SUMIF(收入明细260410_1220[分类],"微信堂食",收入明细260410_1220[收入明细])</f>
        <v>3714.6</v>
      </c>
      <c r="C16" s="16">
        <f>$B$16/$B$3</f>
        <v>0.0990153640945756</v>
      </c>
    </row>
    <row r="17" customHeight="1" spans="1:3">
      <c r="A17" s="13" t="s">
        <v>63</v>
      </c>
      <c r="B17" s="14">
        <f>SUMIF(收入明细260410_1220[分类],"支付宝堂食",收入明细260410_1220[收入明细])</f>
        <v>1395.26</v>
      </c>
      <c r="C17" s="16">
        <f>$B$17/$B$3</f>
        <v>0.0371916698720179</v>
      </c>
    </row>
    <row r="18" customHeight="1" spans="1:3">
      <c r="A18" s="13" t="s">
        <v>64</v>
      </c>
      <c r="B18" s="14">
        <f>SUMIF(收入明细260410_1220[分类],"京东外卖",收入明细260410_1220[收入明细])</f>
        <v>3771.14</v>
      </c>
      <c r="C18" s="16">
        <f>$B$18/$B$3</f>
        <v>0.100522478907989</v>
      </c>
    </row>
    <row r="19" customHeight="1" spans="1:3">
      <c r="A19" s="20" t="s">
        <v>65</v>
      </c>
      <c r="B19" s="21">
        <f>SUM(B13:B18)</f>
        <v>37515.39</v>
      </c>
      <c r="C19" s="22">
        <f>SUM($C$13:$C$18)</f>
        <v>1</v>
      </c>
    </row>
    <row r="20" customFormat="1" customHeight="1" spans="1:1">
      <c r="A20" s="23"/>
    </row>
    <row r="21" customFormat="1" customHeight="1" spans="1:1">
      <c r="A21" s="23"/>
    </row>
    <row r="22" customHeight="1" spans="1:3">
      <c r="A22" s="24" t="s">
        <v>66</v>
      </c>
      <c r="B22" s="25"/>
      <c r="C22" s="25"/>
    </row>
    <row r="23" customHeight="1" spans="1:3">
      <c r="A23" s="26" t="s">
        <v>67</v>
      </c>
      <c r="B23" s="27"/>
      <c r="C23" s="28"/>
    </row>
    <row r="24" customHeight="1" spans="1:3">
      <c r="A24" s="13" t="s">
        <v>25</v>
      </c>
      <c r="B24" s="14">
        <f>SUMIF(支出明细26049_1119[分类],"食材",支出明细26049_1119[支出明细])</f>
        <v>23219.97</v>
      </c>
      <c r="C24" s="16">
        <f>$B$24/$B$4</f>
        <v>0.536371063921792</v>
      </c>
    </row>
    <row r="25" customHeight="1" spans="1:3">
      <c r="A25" s="13" t="s">
        <v>68</v>
      </c>
      <c r="B25" s="14">
        <f>SUMIF(支出明细26049_1119[分类],"工资",支出明细26049_1119[支出明细])</f>
        <v>12000</v>
      </c>
      <c r="C25" s="16">
        <f>$B$25/$B$4</f>
        <v>0.277194706412692</v>
      </c>
    </row>
    <row r="26" customHeight="1" spans="1:3">
      <c r="A26" s="13" t="s">
        <v>6</v>
      </c>
      <c r="B26" s="14">
        <f>SUMIF(支出明细26049_1119[分类],"房租",支出明细26049_1119[支出明细])</f>
        <v>4333</v>
      </c>
      <c r="C26" s="16">
        <f>$B$26/$B$4</f>
        <v>0.100090388573849</v>
      </c>
    </row>
    <row r="27" customHeight="1" spans="1:3">
      <c r="A27" s="13" t="s">
        <v>32</v>
      </c>
      <c r="B27" s="14">
        <f>SUMIF(支出明细26049_1119[分类],"推广",支出明细26049_1119[支出明细])</f>
        <v>0</v>
      </c>
      <c r="C27" s="16">
        <f>$B$27/$B$4</f>
        <v>0</v>
      </c>
    </row>
    <row r="28" customHeight="1" spans="1:3">
      <c r="A28" s="13" t="s">
        <v>37</v>
      </c>
      <c r="B28" s="14">
        <f>SUMIF(支出明细26049_1119[分类],"水电",支出明细26049_1119[支出明细])</f>
        <v>2737.9</v>
      </c>
      <c r="C28" s="16">
        <f>$B$28/$B$4</f>
        <v>0.0632442822239424</v>
      </c>
    </row>
    <row r="29" customHeight="1" spans="1:3">
      <c r="A29" s="13" t="s">
        <v>14</v>
      </c>
      <c r="B29" s="14">
        <f>SUMIF(支出明细26049_1119[分类],"其他",支出明细26049_1119[支出明细])</f>
        <v>1000</v>
      </c>
      <c r="C29" s="16">
        <f>$B$29/$B$4</f>
        <v>0.0230995588677243</v>
      </c>
    </row>
    <row r="30" customHeight="1" spans="1:3">
      <c r="A30" s="29" t="s">
        <v>65</v>
      </c>
      <c r="B30" s="30">
        <f>SUM(B24:B29)</f>
        <v>43290.87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3445.6</v>
      </c>
      <c r="B34" s="32" t="s">
        <v>62</v>
      </c>
      <c r="C34" s="33" t="s">
        <v>136</v>
      </c>
    </row>
    <row r="35" customHeight="1" spans="1:3">
      <c r="A35" s="34">
        <v>269</v>
      </c>
      <c r="B35" s="32" t="s">
        <v>62</v>
      </c>
      <c r="C35" s="33" t="s">
        <v>137</v>
      </c>
    </row>
    <row r="36" customHeight="1" spans="1:3">
      <c r="A36" s="34">
        <v>1395.26</v>
      </c>
      <c r="B36" s="32" t="s">
        <v>63</v>
      </c>
      <c r="C36" s="33"/>
    </row>
    <row r="37" customHeight="1" spans="1:3">
      <c r="A37" s="34">
        <v>3771.14</v>
      </c>
      <c r="B37" s="32" t="s">
        <v>64</v>
      </c>
      <c r="C37" s="33"/>
    </row>
    <row r="38" customHeight="1" spans="1:3">
      <c r="A38" s="34">
        <v>14634.39</v>
      </c>
      <c r="B38" s="32" t="s">
        <v>60</v>
      </c>
      <c r="C38" s="33"/>
    </row>
    <row r="39" customHeight="1" spans="1:3">
      <c r="A39" s="34">
        <v>13953.1</v>
      </c>
      <c r="B39" s="32" t="s">
        <v>61</v>
      </c>
      <c r="C39" s="33"/>
    </row>
    <row r="40" customHeight="1" spans="1:3">
      <c r="A40" s="1">
        <v>46.9</v>
      </c>
      <c r="B40" s="35" t="s">
        <v>135</v>
      </c>
      <c r="C40" s="36"/>
    </row>
    <row r="41" customHeight="1" spans="2:3">
      <c r="B41" s="35"/>
      <c r="C41" s="37"/>
    </row>
    <row r="42" customHeight="1" spans="2:3"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12000</v>
      </c>
      <c r="B45" s="33" t="s">
        <v>68</v>
      </c>
      <c r="C45" s="33" t="s">
        <v>160</v>
      </c>
    </row>
    <row r="46" customHeight="1" spans="1:3">
      <c r="A46" s="1">
        <v>2737.9</v>
      </c>
      <c r="B46" s="33" t="s">
        <v>37</v>
      </c>
      <c r="C46" s="33" t="s">
        <v>160</v>
      </c>
    </row>
    <row r="47" customHeight="1" spans="1:3">
      <c r="A47" s="1">
        <v>1170</v>
      </c>
      <c r="B47" s="2" t="s">
        <v>25</v>
      </c>
      <c r="C47" s="2" t="s">
        <v>168</v>
      </c>
    </row>
    <row r="48" customHeight="1" spans="1:3">
      <c r="A48" s="1">
        <v>5802</v>
      </c>
      <c r="B48" s="2" t="s">
        <v>25</v>
      </c>
      <c r="C48" s="2" t="s">
        <v>197</v>
      </c>
    </row>
    <row r="49" customHeight="1" spans="1:3">
      <c r="A49" s="1">
        <v>2000</v>
      </c>
      <c r="B49" s="2" t="s">
        <v>25</v>
      </c>
      <c r="C49" s="2" t="s">
        <v>26</v>
      </c>
    </row>
    <row r="50" customHeight="1" spans="1:3">
      <c r="A50" s="1">
        <v>299.83</v>
      </c>
      <c r="B50" s="2" t="s">
        <v>25</v>
      </c>
      <c r="C50" s="2" t="s">
        <v>176</v>
      </c>
    </row>
    <row r="51" customHeight="1" spans="1:3">
      <c r="A51" s="1">
        <v>299.83</v>
      </c>
      <c r="B51" s="2" t="s">
        <v>25</v>
      </c>
      <c r="C51" s="2" t="s">
        <v>176</v>
      </c>
    </row>
    <row r="52" customHeight="1" spans="1:3">
      <c r="A52" s="1">
        <v>110.88</v>
      </c>
      <c r="B52" s="2" t="s">
        <v>25</v>
      </c>
      <c r="C52" s="2" t="s">
        <v>198</v>
      </c>
    </row>
    <row r="53" customHeight="1" spans="1:3">
      <c r="A53" s="1">
        <v>81.7</v>
      </c>
      <c r="B53" s="2" t="s">
        <v>25</v>
      </c>
      <c r="C53" s="2" t="s">
        <v>199</v>
      </c>
    </row>
    <row r="54" customHeight="1" spans="1:3">
      <c r="A54" s="1">
        <v>294.03</v>
      </c>
      <c r="B54" s="2" t="s">
        <v>25</v>
      </c>
      <c r="C54" s="2" t="s">
        <v>168</v>
      </c>
    </row>
    <row r="55" customHeight="1" spans="1:3">
      <c r="A55" s="1">
        <v>400</v>
      </c>
      <c r="B55" s="2" t="s">
        <v>25</v>
      </c>
      <c r="C55" s="2" t="s">
        <v>182</v>
      </c>
    </row>
    <row r="56" customHeight="1" spans="1:3">
      <c r="A56" s="1">
        <v>2382</v>
      </c>
      <c r="B56" s="2" t="s">
        <v>25</v>
      </c>
      <c r="C56" s="2" t="s">
        <v>172</v>
      </c>
    </row>
    <row r="57" customHeight="1" spans="1:3">
      <c r="A57" s="1">
        <v>500</v>
      </c>
      <c r="B57" s="2" t="s">
        <v>14</v>
      </c>
      <c r="C57" s="2" t="s">
        <v>200</v>
      </c>
    </row>
    <row r="58" customHeight="1" spans="1:3">
      <c r="A58" s="1">
        <v>500</v>
      </c>
      <c r="B58" s="2" t="s">
        <v>14</v>
      </c>
      <c r="C58" s="2" t="s">
        <v>163</v>
      </c>
    </row>
    <row r="59" customHeight="1" spans="1:3">
      <c r="A59" s="1">
        <v>5610</v>
      </c>
      <c r="B59" s="2" t="s">
        <v>25</v>
      </c>
      <c r="C59" s="2" t="s">
        <v>172</v>
      </c>
    </row>
    <row r="60" customHeight="1" spans="1:3">
      <c r="A60" s="1">
        <v>1304</v>
      </c>
      <c r="B60" s="2" t="s">
        <v>25</v>
      </c>
      <c r="C60" s="2" t="s">
        <v>168</v>
      </c>
    </row>
    <row r="61" customHeight="1" spans="1:3">
      <c r="A61" s="1">
        <v>39.9</v>
      </c>
      <c r="B61" s="2" t="s">
        <v>25</v>
      </c>
      <c r="C61" s="2" t="s">
        <v>174</v>
      </c>
    </row>
    <row r="62" customHeight="1" spans="1:3">
      <c r="A62" s="1">
        <v>592.52</v>
      </c>
      <c r="B62" s="2" t="s">
        <v>25</v>
      </c>
      <c r="C62" s="2" t="s">
        <v>112</v>
      </c>
    </row>
    <row r="63" customHeight="1" spans="1:3">
      <c r="A63" s="1">
        <v>110.88</v>
      </c>
      <c r="B63" s="2" t="s">
        <v>25</v>
      </c>
      <c r="C63" s="2" t="s">
        <v>201</v>
      </c>
    </row>
    <row r="64" customHeight="1" spans="1:3">
      <c r="A64" s="1">
        <v>163.4</v>
      </c>
      <c r="B64" s="2" t="s">
        <v>25</v>
      </c>
      <c r="C64" s="2" t="s">
        <v>202</v>
      </c>
    </row>
    <row r="65" customHeight="1" spans="1:3">
      <c r="A65" s="1">
        <v>59</v>
      </c>
      <c r="B65" s="2" t="s">
        <v>25</v>
      </c>
      <c r="C65" s="2" t="s">
        <v>203</v>
      </c>
    </row>
    <row r="66" customHeight="1" spans="1:3">
      <c r="A66" s="1">
        <v>2500</v>
      </c>
      <c r="B66" s="2" t="s">
        <v>25</v>
      </c>
      <c r="C66" s="2" t="s">
        <v>204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2:B7 B44:B66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61"/>
  <sheetViews>
    <sheetView zoomScale="80" zoomScaleNormal="80" workbookViewId="0">
      <selection activeCell="C59" sqref="C59"/>
    </sheetView>
  </sheetViews>
  <sheetFormatPr defaultColWidth="30.625" defaultRowHeight="25.15" customHeight="1" outlineLevelCol="2"/>
  <cols>
    <col min="1" max="1" width="30.625" style="1" customWidth="1"/>
    <col min="2" max="2" width="30.625" style="2" customWidth="1"/>
    <col min="3" max="16384" width="30.625" style="2"/>
  </cols>
  <sheetData>
    <row r="1" customHeight="1" spans="1:3">
      <c r="A1" s="3" t="s">
        <v>44</v>
      </c>
      <c r="B1" s="4"/>
      <c r="C1" s="4"/>
    </row>
    <row r="2" customHeight="1" spans="1:3">
      <c r="A2" s="5" t="s">
        <v>45</v>
      </c>
      <c r="B2" s="6" t="s">
        <v>46</v>
      </c>
      <c r="C2" s="6" t="s">
        <v>47</v>
      </c>
    </row>
    <row r="3" customHeight="1" spans="1:3">
      <c r="A3" s="7" t="s">
        <v>48</v>
      </c>
      <c r="B3" s="8">
        <f>SUM(收入明细260410_122013[收入明细])</f>
        <v>34107.25</v>
      </c>
      <c r="C3" s="9" t="s">
        <v>49</v>
      </c>
    </row>
    <row r="4" customHeight="1" spans="1:3">
      <c r="A4" s="10" t="s">
        <v>50</v>
      </c>
      <c r="B4" s="11">
        <f>SUM(支出明细26049_111914[支出明细])</f>
        <v>32522.33</v>
      </c>
      <c r="C4" s="12" t="s">
        <v>49</v>
      </c>
    </row>
    <row r="5" customHeight="1" spans="1:3">
      <c r="A5" s="13" t="s">
        <v>51</v>
      </c>
      <c r="B5" s="14">
        <f>$B$3-SUMIF(支出明细26049_111914[分类],"食材",支出明细26049_111914[支出明细])</f>
        <v>17369.38</v>
      </c>
      <c r="C5" s="15" t="s">
        <v>49</v>
      </c>
    </row>
    <row r="6" customHeight="1" spans="1:3">
      <c r="A6" s="13" t="s">
        <v>52</v>
      </c>
      <c r="B6" s="14">
        <f>$B$3-$B$4</f>
        <v>1584.92</v>
      </c>
      <c r="C6" s="15" t="s">
        <v>49</v>
      </c>
    </row>
    <row r="7" customHeight="1" spans="1:3">
      <c r="A7" s="13" t="s">
        <v>53</v>
      </c>
      <c r="B7" s="16">
        <f>$B$5/$B$3</f>
        <v>0.509257709138087</v>
      </c>
      <c r="C7" s="15" t="s">
        <v>54</v>
      </c>
    </row>
    <row r="8" customHeight="1" spans="1:3">
      <c r="A8" s="13" t="s">
        <v>55</v>
      </c>
      <c r="B8" s="16">
        <f>$B$6/$B$3</f>
        <v>0.0464687126637299</v>
      </c>
      <c r="C8" s="15" t="s">
        <v>54</v>
      </c>
    </row>
    <row r="9" customHeight="1" spans="2:3">
      <c r="B9" s="4"/>
      <c r="C9" s="4"/>
    </row>
    <row r="10" customHeight="1" spans="2:3">
      <c r="B10" s="4"/>
      <c r="C10" s="4"/>
    </row>
    <row r="11" customHeight="1" spans="1:3">
      <c r="A11" s="17" t="s">
        <v>56</v>
      </c>
      <c r="B11" s="4"/>
      <c r="C11" s="4"/>
    </row>
    <row r="12" customHeight="1" spans="1:3">
      <c r="A12" s="18" t="s">
        <v>57</v>
      </c>
      <c r="B12" s="19" t="s">
        <v>58</v>
      </c>
      <c r="C12" s="19" t="s">
        <v>59</v>
      </c>
    </row>
    <row r="13" customHeight="1" spans="1:3">
      <c r="A13" s="13" t="s">
        <v>60</v>
      </c>
      <c r="B13" s="14">
        <f>SUMIF(收入明细260410_122013[分类],"淘宝外卖",收入明细260410_122013[收入明细])</f>
        <v>13553</v>
      </c>
      <c r="C13" s="16">
        <f>$B$13/$B$3</f>
        <v>0.397364196761686</v>
      </c>
    </row>
    <row r="14" customHeight="1" spans="1:3">
      <c r="A14" s="13" t="s">
        <v>61</v>
      </c>
      <c r="B14" s="14">
        <f>SUMIF(收入明细260410_122013[分类],"美团外卖",收入明细260410_122013[收入明细])</f>
        <v>13435.44</v>
      </c>
      <c r="C14" s="16">
        <f>$B$14/$B$3</f>
        <v>0.393917422248935</v>
      </c>
    </row>
    <row r="15" customHeight="1" spans="1:3">
      <c r="A15" s="13" t="s">
        <v>135</v>
      </c>
      <c r="B15" s="14">
        <f>SUMIF(收入明细260410_122013[分类],"抖音来客",收入明细260410_122013[收入明细])</f>
        <v>80.35</v>
      </c>
      <c r="C15" s="16">
        <f>$B$15/$B$3</f>
        <v>0.00235580411789282</v>
      </c>
    </row>
    <row r="16" customHeight="1" spans="1:3">
      <c r="A16" s="13" t="s">
        <v>62</v>
      </c>
      <c r="B16" s="14">
        <f>SUMIF(收入明细260410_122013[分类],"微信堂食",收入明细260410_122013[收入明细])</f>
        <v>3340.7</v>
      </c>
      <c r="C16" s="16">
        <f>$B$16/$B$3</f>
        <v>0.0979469174442384</v>
      </c>
    </row>
    <row r="17" customHeight="1" spans="1:3">
      <c r="A17" s="13" t="s">
        <v>63</v>
      </c>
      <c r="B17" s="14">
        <f>SUMIF(收入明细260410_122013[分类],"支付宝堂食",收入明细260410_122013[收入明细])</f>
        <v>1709.88</v>
      </c>
      <c r="C17" s="16">
        <f>$B$17/$B$3</f>
        <v>0.0501324498457073</v>
      </c>
    </row>
    <row r="18" customHeight="1" spans="1:3">
      <c r="A18" s="13" t="s">
        <v>64</v>
      </c>
      <c r="B18" s="14">
        <f>SUMIF(收入明细260410_122013[分类],"京东外卖",收入明细260410_122013[收入明细])</f>
        <v>1987.88</v>
      </c>
      <c r="C18" s="16">
        <f>$B$18/$B$3</f>
        <v>0.0582832095815406</v>
      </c>
    </row>
    <row r="19" customHeight="1" spans="1:3">
      <c r="A19" s="20" t="s">
        <v>65</v>
      </c>
      <c r="B19" s="21">
        <f>SUM(B13:B18)</f>
        <v>34107.25</v>
      </c>
      <c r="C19" s="22">
        <f>SUM($C$13:$C$18)</f>
        <v>1</v>
      </c>
    </row>
    <row r="20" customFormat="1" customHeight="1" spans="1:1">
      <c r="A20" s="23"/>
    </row>
    <row r="21" customFormat="1" customHeight="1" spans="1:1">
      <c r="A21" s="23"/>
    </row>
    <row r="22" customHeight="1" spans="1:3">
      <c r="A22" s="24" t="s">
        <v>66</v>
      </c>
      <c r="B22" s="25"/>
      <c r="C22" s="25"/>
    </row>
    <row r="23" customHeight="1" spans="1:3">
      <c r="A23" s="26" t="s">
        <v>67</v>
      </c>
      <c r="B23" s="27"/>
      <c r="C23" s="28"/>
    </row>
    <row r="24" customHeight="1" spans="1:3">
      <c r="A24" s="13" t="s">
        <v>25</v>
      </c>
      <c r="B24" s="14">
        <f>SUMIF(支出明细26049_111914[分类],"食材",支出明细26049_111914[支出明细])</f>
        <v>16737.87</v>
      </c>
      <c r="C24" s="16">
        <f>$B$24/$B$4</f>
        <v>0.514657775134807</v>
      </c>
    </row>
    <row r="25" customHeight="1" spans="1:3">
      <c r="A25" s="13" t="s">
        <v>68</v>
      </c>
      <c r="B25" s="14">
        <f>SUMIF(支出明细26049_111914[分类],"工资",支出明细26049_111914[支出明细])</f>
        <v>9000</v>
      </c>
      <c r="C25" s="16">
        <f>$B$25/$B$4</f>
        <v>0.276732940106075</v>
      </c>
    </row>
    <row r="26" customHeight="1" spans="1:3">
      <c r="A26" s="13" t="s">
        <v>6</v>
      </c>
      <c r="B26" s="14">
        <f>SUMIF(支出明细26049_111914[分类],"房租",支出明细26049_111914[支出明细])</f>
        <v>4333</v>
      </c>
      <c r="C26" s="16">
        <f>$B$26/$B$4</f>
        <v>0.133231536608847</v>
      </c>
    </row>
    <row r="27" customHeight="1" spans="1:3">
      <c r="A27" s="13" t="s">
        <v>32</v>
      </c>
      <c r="B27" s="14">
        <f>SUMIF(支出明细26049_111914[分类],"推广",支出明细26049_111914[支出明细])</f>
        <v>19.06</v>
      </c>
      <c r="C27" s="16">
        <f>$B$27/$B$4</f>
        <v>0.000586058870935754</v>
      </c>
    </row>
    <row r="28" customHeight="1" spans="1:3">
      <c r="A28" s="13" t="s">
        <v>37</v>
      </c>
      <c r="B28" s="14">
        <f>SUMIF(支出明细26049_111914[分类],"水电",支出明细26049_111914[支出明细])</f>
        <v>2432.4</v>
      </c>
      <c r="C28" s="16">
        <f>$B$28/$B$4</f>
        <v>0.0747916892793352</v>
      </c>
    </row>
    <row r="29" customHeight="1" spans="1:3">
      <c r="A29" s="13" t="s">
        <v>14</v>
      </c>
      <c r="B29" s="14">
        <f>SUMIF(支出明细26049_111914[分类],"其他",支出明细26049_111914[支出明细])</f>
        <v>0</v>
      </c>
      <c r="C29" s="16">
        <f>$B$29/$B$4</f>
        <v>0</v>
      </c>
    </row>
    <row r="30" customHeight="1" spans="1:3">
      <c r="A30" s="29" t="s">
        <v>65</v>
      </c>
      <c r="B30" s="30">
        <f>SUM(B24:B29)</f>
        <v>32522.33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2791.82</v>
      </c>
      <c r="B34" s="32" t="s">
        <v>62</v>
      </c>
      <c r="C34" s="33" t="s">
        <v>136</v>
      </c>
    </row>
    <row r="35" customHeight="1" spans="1:3">
      <c r="A35" s="34">
        <v>548.88</v>
      </c>
      <c r="B35" s="32" t="s">
        <v>62</v>
      </c>
      <c r="C35" s="33" t="s">
        <v>137</v>
      </c>
    </row>
    <row r="36" customHeight="1" spans="1:3">
      <c r="A36" s="34">
        <v>1709.88</v>
      </c>
      <c r="B36" s="32" t="s">
        <v>63</v>
      </c>
      <c r="C36" s="33"/>
    </row>
    <row r="37" customHeight="1" spans="1:3">
      <c r="A37" s="34">
        <v>1987.88</v>
      </c>
      <c r="B37" s="32" t="s">
        <v>64</v>
      </c>
      <c r="C37" s="33"/>
    </row>
    <row r="38" customHeight="1" spans="1:3">
      <c r="A38" s="34">
        <v>13553</v>
      </c>
      <c r="B38" s="32" t="s">
        <v>60</v>
      </c>
      <c r="C38" s="33"/>
    </row>
    <row r="39" customHeight="1" spans="1:3">
      <c r="A39" s="34">
        <v>13435.44</v>
      </c>
      <c r="B39" s="32" t="s">
        <v>61</v>
      </c>
      <c r="C39" s="33"/>
    </row>
    <row r="40" customHeight="1" spans="1:3">
      <c r="A40" s="1">
        <v>80.35</v>
      </c>
      <c r="B40" s="35" t="s">
        <v>135</v>
      </c>
      <c r="C40" s="36"/>
    </row>
    <row r="41" customHeight="1" spans="2:3">
      <c r="B41" s="35"/>
      <c r="C41" s="37"/>
    </row>
    <row r="42" customHeight="1" spans="2:3"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9000</v>
      </c>
      <c r="B45" s="33" t="s">
        <v>68</v>
      </c>
      <c r="C45" s="33" t="s">
        <v>68</v>
      </c>
    </row>
    <row r="46" customHeight="1" spans="1:3">
      <c r="A46" s="1">
        <v>2432.4</v>
      </c>
      <c r="B46" s="33" t="s">
        <v>37</v>
      </c>
      <c r="C46" s="33" t="s">
        <v>37</v>
      </c>
    </row>
    <row r="47" customHeight="1" spans="1:3">
      <c r="A47" s="1">
        <v>1000</v>
      </c>
      <c r="B47" s="2" t="s">
        <v>25</v>
      </c>
      <c r="C47" s="2" t="s">
        <v>26</v>
      </c>
    </row>
    <row r="48" customHeight="1" spans="1:3">
      <c r="A48" s="1">
        <v>79.17</v>
      </c>
      <c r="B48" s="2" t="s">
        <v>25</v>
      </c>
      <c r="C48" s="2" t="s">
        <v>205</v>
      </c>
    </row>
    <row r="49" customHeight="1" spans="1:3">
      <c r="A49" s="1">
        <v>678</v>
      </c>
      <c r="B49" s="2" t="s">
        <v>25</v>
      </c>
      <c r="C49" s="2" t="s">
        <v>206</v>
      </c>
    </row>
    <row r="50" customHeight="1" spans="1:3">
      <c r="A50" s="1">
        <v>936</v>
      </c>
      <c r="B50" s="2" t="s">
        <v>25</v>
      </c>
      <c r="C50" s="2" t="s">
        <v>207</v>
      </c>
    </row>
    <row r="51" customHeight="1" spans="1:3">
      <c r="A51" s="1">
        <v>6244</v>
      </c>
      <c r="B51" s="2" t="s">
        <v>25</v>
      </c>
      <c r="C51" s="2" t="s">
        <v>208</v>
      </c>
    </row>
    <row r="52" customHeight="1" spans="1:3">
      <c r="A52" s="1">
        <v>1500</v>
      </c>
      <c r="B52" s="2" t="s">
        <v>25</v>
      </c>
      <c r="C52" s="2" t="s">
        <v>209</v>
      </c>
    </row>
    <row r="53" customHeight="1" spans="1:3">
      <c r="A53" s="1">
        <v>996</v>
      </c>
      <c r="B53" s="2" t="s">
        <v>25</v>
      </c>
      <c r="C53" s="2" t="s">
        <v>168</v>
      </c>
    </row>
    <row r="54" customHeight="1" spans="1:3">
      <c r="A54" s="1">
        <v>4470</v>
      </c>
      <c r="B54" s="2" t="s">
        <v>25</v>
      </c>
      <c r="C54" s="2" t="s">
        <v>208</v>
      </c>
    </row>
    <row r="55" customHeight="1" spans="1:3">
      <c r="A55" s="1">
        <v>277.25</v>
      </c>
      <c r="B55" s="2" t="s">
        <v>25</v>
      </c>
      <c r="C55" s="2" t="s">
        <v>210</v>
      </c>
    </row>
    <row r="56" customHeight="1" spans="1:3">
      <c r="A56" s="1">
        <v>19.06</v>
      </c>
      <c r="B56" s="2" t="s">
        <v>32</v>
      </c>
      <c r="C56" s="2" t="s">
        <v>211</v>
      </c>
    </row>
    <row r="57" customHeight="1" spans="1:3">
      <c r="A57" s="1">
        <v>29</v>
      </c>
      <c r="B57" s="2" t="s">
        <v>25</v>
      </c>
      <c r="C57" s="2" t="s">
        <v>212</v>
      </c>
    </row>
    <row r="58" customHeight="1" spans="1:3">
      <c r="A58" s="1">
        <v>42</v>
      </c>
      <c r="B58" s="2" t="s">
        <v>25</v>
      </c>
      <c r="C58" s="2" t="s">
        <v>213</v>
      </c>
    </row>
    <row r="59" customHeight="1" spans="1:3">
      <c r="A59" s="1">
        <v>364.35</v>
      </c>
      <c r="B59" s="2" t="s">
        <v>25</v>
      </c>
      <c r="C59" s="2" t="s">
        <v>214</v>
      </c>
    </row>
    <row r="60" customHeight="1" spans="1:3">
      <c r="A60" s="1">
        <v>56</v>
      </c>
      <c r="B60" s="2" t="s">
        <v>25</v>
      </c>
      <c r="C60" s="2" t="s">
        <v>214</v>
      </c>
    </row>
    <row r="61" customHeight="1" spans="1:3">
      <c r="A61" s="1">
        <v>66.1</v>
      </c>
      <c r="B61" s="2" t="s">
        <v>25</v>
      </c>
      <c r="C61" s="2" t="s">
        <v>214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47 B48 B49 B50 B51 B52 B53 B54 B55 B56 B57 B58 B59 B60 B61 B2:B7 B44:B46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62"/>
  <sheetViews>
    <sheetView tabSelected="1" workbookViewId="0">
      <selection activeCell="D48" sqref="D48"/>
    </sheetView>
  </sheetViews>
  <sheetFormatPr defaultColWidth="30.625" defaultRowHeight="25.15" customHeight="1" outlineLevelCol="2"/>
  <cols>
    <col min="1" max="1" width="30.625" style="1" customWidth="1"/>
    <col min="2" max="2" width="30.625" style="2" customWidth="1"/>
    <col min="3" max="16384" width="30.625" style="2"/>
  </cols>
  <sheetData>
    <row r="1" customHeight="1" spans="1:3">
      <c r="A1" s="3" t="s">
        <v>44</v>
      </c>
      <c r="B1" s="4"/>
      <c r="C1" s="4"/>
    </row>
    <row r="2" customHeight="1" spans="1:3">
      <c r="A2" s="5" t="s">
        <v>45</v>
      </c>
      <c r="B2" s="6" t="s">
        <v>46</v>
      </c>
      <c r="C2" s="6" t="s">
        <v>47</v>
      </c>
    </row>
    <row r="3" customHeight="1" spans="1:3">
      <c r="A3" s="7" t="s">
        <v>48</v>
      </c>
      <c r="B3" s="8">
        <f>SUM(收入明细260410_12201315[收入明细])</f>
        <v>36923.89</v>
      </c>
      <c r="C3" s="9" t="s">
        <v>49</v>
      </c>
    </row>
    <row r="4" customHeight="1" spans="1:3">
      <c r="A4" s="10" t="s">
        <v>50</v>
      </c>
      <c r="B4" s="11">
        <f>SUM(支出明细26049_11191416[支出明细])</f>
        <v>34304.54</v>
      </c>
      <c r="C4" s="12" t="s">
        <v>49</v>
      </c>
    </row>
    <row r="5" customHeight="1" spans="1:3">
      <c r="A5" s="13" t="s">
        <v>51</v>
      </c>
      <c r="B5" s="14">
        <f>$B$3-SUMIF(支出明细26049_11191416[分类],"食材",支出明细26049_11191416[支出明细])</f>
        <v>17744.75</v>
      </c>
      <c r="C5" s="15" t="s">
        <v>49</v>
      </c>
    </row>
    <row r="6" customHeight="1" spans="1:3">
      <c r="A6" s="13" t="s">
        <v>52</v>
      </c>
      <c r="B6" s="14">
        <f>$B$3-$B$4</f>
        <v>2619.34999999999</v>
      </c>
      <c r="C6" s="15" t="s">
        <v>49</v>
      </c>
    </row>
    <row r="7" customHeight="1" spans="1:3">
      <c r="A7" s="13" t="s">
        <v>53</v>
      </c>
      <c r="B7" s="16">
        <f>$B$5/$B$3</f>
        <v>0.480576396473936</v>
      </c>
      <c r="C7" s="15" t="s">
        <v>54</v>
      </c>
    </row>
    <row r="8" customHeight="1" spans="1:3">
      <c r="A8" s="13" t="s">
        <v>55</v>
      </c>
      <c r="B8" s="16">
        <f>$B$6/$B$3</f>
        <v>0.0709391670270925</v>
      </c>
      <c r="C8" s="15" t="s">
        <v>54</v>
      </c>
    </row>
    <row r="9" customHeight="1" spans="2:3">
      <c r="B9" s="4"/>
      <c r="C9" s="4"/>
    </row>
    <row r="10" customHeight="1" spans="2:3">
      <c r="B10" s="4"/>
      <c r="C10" s="4"/>
    </row>
    <row r="11" customHeight="1" spans="1:3">
      <c r="A11" s="17" t="s">
        <v>56</v>
      </c>
      <c r="B11" s="4"/>
      <c r="C11" s="4"/>
    </row>
    <row r="12" customHeight="1" spans="1:3">
      <c r="A12" s="18" t="s">
        <v>57</v>
      </c>
      <c r="B12" s="19" t="s">
        <v>58</v>
      </c>
      <c r="C12" s="19" t="s">
        <v>59</v>
      </c>
    </row>
    <row r="13" customHeight="1" spans="1:3">
      <c r="A13" s="13" t="s">
        <v>60</v>
      </c>
      <c r="B13" s="14">
        <f>SUMIF(收入明细260410_12201315[分类],"淘宝外卖",收入明细260410_12201315[收入明细])</f>
        <v>16613.36</v>
      </c>
      <c r="C13" s="16">
        <f>$B$13/$B$3</f>
        <v>0.449935258717324</v>
      </c>
    </row>
    <row r="14" customHeight="1" spans="1:3">
      <c r="A14" s="13" t="s">
        <v>61</v>
      </c>
      <c r="B14" s="14">
        <f>SUMIF(收入明细260410_12201315[分类],"美团外卖",收入明细260410_12201315[收入明细])</f>
        <v>14177.95</v>
      </c>
      <c r="C14" s="16">
        <f>$B$14/$B$3</f>
        <v>0.383977690324611</v>
      </c>
    </row>
    <row r="15" customHeight="1" spans="1:3">
      <c r="A15" s="13" t="s">
        <v>135</v>
      </c>
      <c r="B15" s="14">
        <f>SUMIF(收入明细260410_12201315[分类],"抖音来客",收入明细260410_12201315[收入明细])</f>
        <v>40.11</v>
      </c>
      <c r="C15" s="16">
        <f>$B$15/$B$3</f>
        <v>0.00108628857902025</v>
      </c>
    </row>
    <row r="16" customHeight="1" spans="1:3">
      <c r="A16" s="13" t="s">
        <v>62</v>
      </c>
      <c r="B16" s="14">
        <f>SUMIF(收入明细260410_12201315[分类],"微信堂食",收入明细260410_12201315[收入明细])</f>
        <v>2839.61</v>
      </c>
      <c r="C16" s="16">
        <f>$B$16/$B$3</f>
        <v>0.0769044106674567</v>
      </c>
    </row>
    <row r="17" customHeight="1" spans="1:3">
      <c r="A17" s="13" t="s">
        <v>63</v>
      </c>
      <c r="B17" s="14">
        <f>SUMIF(收入明细260410_12201315[分类],"支付宝堂食",收入明细260410_12201315[收入明细])</f>
        <v>2057.57</v>
      </c>
      <c r="C17" s="16">
        <f>$B$17/$B$3</f>
        <v>0.0557246270639415</v>
      </c>
    </row>
    <row r="18" customHeight="1" spans="1:3">
      <c r="A18" s="13" t="s">
        <v>64</v>
      </c>
      <c r="B18" s="14">
        <f>SUMIF(收入明细260410_12201315[分类],"京东外卖",收入明细260410_12201315[收入明细])</f>
        <v>1195.29</v>
      </c>
      <c r="C18" s="16">
        <f>$B$18/$B$3</f>
        <v>0.0323717246476468</v>
      </c>
    </row>
    <row r="19" customHeight="1" spans="1:3">
      <c r="A19" s="20" t="s">
        <v>65</v>
      </c>
      <c r="B19" s="21">
        <f>SUM(B13:B18)</f>
        <v>36923.89</v>
      </c>
      <c r="C19" s="22">
        <f>SUM($C$13:$C$18)</f>
        <v>1</v>
      </c>
    </row>
    <row r="20" customFormat="1" customHeight="1" spans="1:1">
      <c r="A20" s="23"/>
    </row>
    <row r="21" customFormat="1" customHeight="1" spans="1:1">
      <c r="A21" s="23"/>
    </row>
    <row r="22" customHeight="1" spans="1:3">
      <c r="A22" s="24" t="s">
        <v>66</v>
      </c>
      <c r="B22" s="25"/>
      <c r="C22" s="25"/>
    </row>
    <row r="23" customHeight="1" spans="1:3">
      <c r="A23" s="26" t="s">
        <v>67</v>
      </c>
      <c r="B23" s="27"/>
      <c r="C23" s="28"/>
    </row>
    <row r="24" customHeight="1" spans="1:3">
      <c r="A24" s="13" t="s">
        <v>25</v>
      </c>
      <c r="B24" s="14">
        <f>SUMIF(支出明细26049_11191416[分类],"食材",支出明细26049_11191416[支出明细])</f>
        <v>19179.14</v>
      </c>
      <c r="C24" s="16">
        <f>$B$24/$B$4</f>
        <v>0.559084599297935</v>
      </c>
    </row>
    <row r="25" customHeight="1" spans="1:3">
      <c r="A25" s="13" t="s">
        <v>68</v>
      </c>
      <c r="B25" s="14">
        <f>SUMIF(支出明细26049_11191416[分类],"工资",支出明细26049_11191416[支出明细])</f>
        <v>8500</v>
      </c>
      <c r="C25" s="16">
        <f>$B$25/$B$4</f>
        <v>0.247780614460943</v>
      </c>
    </row>
    <row r="26" customHeight="1" spans="1:3">
      <c r="A26" s="13" t="s">
        <v>6</v>
      </c>
      <c r="B26" s="14">
        <f>SUMIF(支出明细26049_11191416[分类],"房租",支出明细26049_11191416[支出明细])</f>
        <v>4333</v>
      </c>
      <c r="C26" s="16">
        <f>$B$26/$B$4</f>
        <v>0.126309812054031</v>
      </c>
    </row>
    <row r="27" customHeight="1" spans="1:3">
      <c r="A27" s="13" t="s">
        <v>32</v>
      </c>
      <c r="B27" s="14">
        <f>SUMIF(支出明细26049_11191416[分类],"推广",支出明细26049_11191416[支出明细])</f>
        <v>0</v>
      </c>
      <c r="C27" s="16">
        <f>$B$27/$B$4</f>
        <v>0</v>
      </c>
    </row>
    <row r="28" customHeight="1" spans="1:3">
      <c r="A28" s="13" t="s">
        <v>37</v>
      </c>
      <c r="B28" s="14">
        <f>SUMIF(支出明细26049_11191416[分类],"水电",支出明细26049_11191416[支出明细])</f>
        <v>2292.4</v>
      </c>
      <c r="C28" s="16">
        <f>$B$28/$B$4</f>
        <v>0.0668249741870901</v>
      </c>
    </row>
    <row r="29" customHeight="1" spans="1:3">
      <c r="A29" s="13" t="s">
        <v>14</v>
      </c>
      <c r="B29" s="14">
        <f>SUMIF(支出明细26049_11191416[分类],"其他",支出明细26049_11191416[支出明细])</f>
        <v>0</v>
      </c>
      <c r="C29" s="16">
        <f>$B$29/$B$4</f>
        <v>0</v>
      </c>
    </row>
    <row r="30" customHeight="1" spans="1:3">
      <c r="A30" s="29" t="s">
        <v>65</v>
      </c>
      <c r="B30" s="30">
        <f>SUM(B24:B29)</f>
        <v>34304.54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2692.66</v>
      </c>
      <c r="B34" s="32" t="s">
        <v>62</v>
      </c>
      <c r="C34" s="33" t="s">
        <v>136</v>
      </c>
    </row>
    <row r="35" customHeight="1" spans="1:3">
      <c r="A35" s="34">
        <v>146.95</v>
      </c>
      <c r="B35" s="32" t="s">
        <v>62</v>
      </c>
      <c r="C35" s="33" t="s">
        <v>137</v>
      </c>
    </row>
    <row r="36" customHeight="1" spans="1:3">
      <c r="A36" s="34">
        <v>2057.57</v>
      </c>
      <c r="B36" s="32" t="s">
        <v>63</v>
      </c>
      <c r="C36" s="33"/>
    </row>
    <row r="37" customHeight="1" spans="1:3">
      <c r="A37" s="34">
        <v>1195.29</v>
      </c>
      <c r="B37" s="32" t="s">
        <v>64</v>
      </c>
      <c r="C37" s="33"/>
    </row>
    <row r="38" customHeight="1" spans="1:3">
      <c r="A38" s="34">
        <v>16613.36</v>
      </c>
      <c r="B38" s="32" t="s">
        <v>60</v>
      </c>
      <c r="C38" s="33"/>
    </row>
    <row r="39" customHeight="1" spans="1:3">
      <c r="A39" s="34">
        <v>14177.95</v>
      </c>
      <c r="B39" s="32" t="s">
        <v>61</v>
      </c>
      <c r="C39" s="33"/>
    </row>
    <row r="40" customHeight="1" spans="1:3">
      <c r="A40" s="1">
        <v>40.11</v>
      </c>
      <c r="B40" s="35" t="s">
        <v>135</v>
      </c>
      <c r="C40" s="36"/>
    </row>
    <row r="41" customHeight="1" spans="2:3">
      <c r="B41" s="35"/>
      <c r="C41" s="37"/>
    </row>
    <row r="42" customHeight="1" spans="2:3"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8500</v>
      </c>
      <c r="B45" s="33" t="s">
        <v>68</v>
      </c>
      <c r="C45" s="33" t="s">
        <v>68</v>
      </c>
    </row>
    <row r="46" customHeight="1" spans="1:3">
      <c r="A46" s="1">
        <v>2292.4</v>
      </c>
      <c r="B46" s="33" t="s">
        <v>37</v>
      </c>
      <c r="C46" s="33" t="s">
        <v>215</v>
      </c>
    </row>
    <row r="47" customHeight="1" spans="1:3">
      <c r="A47" s="1">
        <v>589</v>
      </c>
      <c r="B47" s="2" t="s">
        <v>25</v>
      </c>
      <c r="C47" s="2" t="s">
        <v>112</v>
      </c>
    </row>
    <row r="48" customHeight="1" spans="1:3">
      <c r="A48" s="1">
        <v>1000</v>
      </c>
      <c r="B48" s="2" t="s">
        <v>25</v>
      </c>
      <c r="C48" s="2" t="s">
        <v>216</v>
      </c>
    </row>
    <row r="49" customHeight="1" spans="1:3">
      <c r="A49" s="1">
        <v>81.7</v>
      </c>
      <c r="B49" s="2" t="s">
        <v>25</v>
      </c>
      <c r="C49" s="2" t="s">
        <v>217</v>
      </c>
    </row>
    <row r="50" customHeight="1" spans="1:3">
      <c r="A50" s="1">
        <v>263.64</v>
      </c>
      <c r="B50" s="2" t="s">
        <v>25</v>
      </c>
      <c r="C50" s="2" t="s">
        <v>218</v>
      </c>
    </row>
    <row r="51" customHeight="1" spans="1:3">
      <c r="A51" s="1">
        <v>6192</v>
      </c>
      <c r="B51" s="2" t="s">
        <v>25</v>
      </c>
      <c r="C51" s="2" t="s">
        <v>219</v>
      </c>
    </row>
    <row r="52" customHeight="1" spans="1:3">
      <c r="A52" s="1">
        <v>12.9</v>
      </c>
      <c r="B52" s="2" t="s">
        <v>25</v>
      </c>
      <c r="C52" s="2" t="s">
        <v>220</v>
      </c>
    </row>
    <row r="53" customHeight="1" spans="1:3">
      <c r="A53" s="1">
        <v>1000</v>
      </c>
      <c r="B53" s="2" t="s">
        <v>25</v>
      </c>
      <c r="C53" s="2" t="s">
        <v>26</v>
      </c>
    </row>
    <row r="54" customHeight="1" spans="1:3">
      <c r="A54" s="1">
        <v>593.8</v>
      </c>
      <c r="B54" s="2" t="s">
        <v>25</v>
      </c>
      <c r="C54" s="2" t="s">
        <v>112</v>
      </c>
    </row>
    <row r="55" customHeight="1" spans="1:3">
      <c r="A55" s="1">
        <v>81.3</v>
      </c>
      <c r="B55" s="2" t="s">
        <v>25</v>
      </c>
      <c r="C55" s="2" t="s">
        <v>202</v>
      </c>
    </row>
    <row r="56" customHeight="1" spans="1:3">
      <c r="A56" s="1">
        <v>771</v>
      </c>
      <c r="B56" s="2" t="s">
        <v>25</v>
      </c>
      <c r="C56" s="2" t="s">
        <v>168</v>
      </c>
    </row>
    <row r="57" customHeight="1" spans="1:3">
      <c r="A57" s="1">
        <v>885</v>
      </c>
      <c r="B57" s="2" t="s">
        <v>25</v>
      </c>
      <c r="C57" s="2" t="s">
        <v>207</v>
      </c>
    </row>
    <row r="58" customHeight="1" spans="1:3">
      <c r="A58" s="1">
        <v>805</v>
      </c>
      <c r="B58" s="2" t="s">
        <v>25</v>
      </c>
      <c r="C58" s="2" t="s">
        <v>168</v>
      </c>
    </row>
    <row r="59" customHeight="1" spans="1:3">
      <c r="A59" s="1">
        <v>300</v>
      </c>
      <c r="B59" s="2" t="s">
        <v>25</v>
      </c>
      <c r="C59" s="2" t="s">
        <v>221</v>
      </c>
    </row>
    <row r="60" customHeight="1" spans="1:3">
      <c r="A60" s="1">
        <v>5578</v>
      </c>
      <c r="B60" s="2" t="s">
        <v>25</v>
      </c>
      <c r="C60" s="2" t="s">
        <v>172</v>
      </c>
    </row>
    <row r="61" customHeight="1" spans="1:3">
      <c r="A61" s="1">
        <v>1000</v>
      </c>
      <c r="B61" s="2" t="s">
        <v>25</v>
      </c>
      <c r="C61" s="2" t="s">
        <v>26</v>
      </c>
    </row>
    <row r="62" customHeight="1" spans="1:3">
      <c r="A62" s="1">
        <v>25.8</v>
      </c>
      <c r="B62" s="2" t="s">
        <v>25</v>
      </c>
      <c r="C62" s="2" t="s">
        <v>222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47 B48 B49 B50 B51 B52 B53 B54 B55 B56 B57 B58 B59 B60 B61 B62 B2:B7 B44:B46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51"/>
  <sheetViews>
    <sheetView workbookViewId="0">
      <selection activeCell="D51" sqref="D51"/>
    </sheetView>
  </sheetViews>
  <sheetFormatPr defaultColWidth="30.625" defaultRowHeight="25.15" customHeight="1" outlineLevelCol="2"/>
  <cols>
    <col min="1" max="1" width="30.625" style="1" customWidth="1"/>
    <col min="2" max="2" width="30.625" style="2" customWidth="1"/>
    <col min="3" max="16384" width="30.625" style="2"/>
  </cols>
  <sheetData>
    <row r="1" customHeight="1" spans="1:3">
      <c r="A1" s="3" t="s">
        <v>44</v>
      </c>
      <c r="B1" s="4"/>
      <c r="C1" s="4"/>
    </row>
    <row r="2" customHeight="1" spans="1:3">
      <c r="A2" s="5" t="s">
        <v>45</v>
      </c>
      <c r="B2" s="6" t="s">
        <v>46</v>
      </c>
      <c r="C2" s="6" t="s">
        <v>47</v>
      </c>
    </row>
    <row r="3" customHeight="1" spans="1:3">
      <c r="A3" s="7" t="s">
        <v>48</v>
      </c>
      <c r="B3" s="8">
        <f>SUM(收入明细260410_1220131517[收入明细])</f>
        <v>0</v>
      </c>
      <c r="C3" s="9" t="s">
        <v>49</v>
      </c>
    </row>
    <row r="4" customHeight="1" spans="1:3">
      <c r="A4" s="10" t="s">
        <v>50</v>
      </c>
      <c r="B4" s="11">
        <f>SUM(支出明细26049_1119141618[支出明细])</f>
        <v>23549.5</v>
      </c>
      <c r="C4" s="12" t="s">
        <v>49</v>
      </c>
    </row>
    <row r="5" customHeight="1" spans="1:3">
      <c r="A5" s="13" t="s">
        <v>51</v>
      </c>
      <c r="B5" s="14">
        <f>$B$3-SUMIF(支出明细26049_1119141618[分类],"食材",支出明细26049_1119141618[支出明细])</f>
        <v>-7716.5</v>
      </c>
      <c r="C5" s="15" t="s">
        <v>49</v>
      </c>
    </row>
    <row r="6" customHeight="1" spans="1:3">
      <c r="A6" s="13" t="s">
        <v>52</v>
      </c>
      <c r="B6" s="14">
        <f>$B$3-$B$4</f>
        <v>-23549.5</v>
      </c>
      <c r="C6" s="15" t="s">
        <v>49</v>
      </c>
    </row>
    <row r="7" customHeight="1" spans="1:3">
      <c r="A7" s="13" t="s">
        <v>53</v>
      </c>
      <c r="B7" s="16" t="e">
        <f>$B$5/$B$3</f>
        <v>#DIV/0!</v>
      </c>
      <c r="C7" s="15" t="s">
        <v>54</v>
      </c>
    </row>
    <row r="8" customHeight="1" spans="1:3">
      <c r="A8" s="13" t="s">
        <v>55</v>
      </c>
      <c r="B8" s="16" t="e">
        <f>$B$6/$B$3</f>
        <v>#DIV/0!</v>
      </c>
      <c r="C8" s="15" t="s">
        <v>54</v>
      </c>
    </row>
    <row r="9" customHeight="1" spans="2:3">
      <c r="B9" s="4"/>
      <c r="C9" s="4"/>
    </row>
    <row r="10" customHeight="1" spans="2:3">
      <c r="B10" s="4"/>
      <c r="C10" s="4"/>
    </row>
    <row r="11" customHeight="1" spans="1:3">
      <c r="A11" s="17" t="s">
        <v>56</v>
      </c>
      <c r="B11" s="4"/>
      <c r="C11" s="4"/>
    </row>
    <row r="12" customHeight="1" spans="1:3">
      <c r="A12" s="18" t="s">
        <v>57</v>
      </c>
      <c r="B12" s="19" t="s">
        <v>58</v>
      </c>
      <c r="C12" s="19" t="s">
        <v>59</v>
      </c>
    </row>
    <row r="13" customHeight="1" spans="1:3">
      <c r="A13" s="13" t="s">
        <v>60</v>
      </c>
      <c r="B13" s="14">
        <f>SUMIF(收入明细260410_1220131517[分类],"淘宝外卖",收入明细260410_1220131517[收入明细])</f>
        <v>0</v>
      </c>
      <c r="C13" s="16" t="e">
        <f>$B$13/$B$3</f>
        <v>#DIV/0!</v>
      </c>
    </row>
    <row r="14" customHeight="1" spans="1:3">
      <c r="A14" s="13" t="s">
        <v>61</v>
      </c>
      <c r="B14" s="14">
        <f>SUMIF(收入明细260410_1220131517[分类],"美团外卖",收入明细260410_1220131517[收入明细])</f>
        <v>0</v>
      </c>
      <c r="C14" s="16" t="e">
        <f>$B$14/$B$3</f>
        <v>#DIV/0!</v>
      </c>
    </row>
    <row r="15" customHeight="1" spans="1:3">
      <c r="A15" s="13" t="s">
        <v>135</v>
      </c>
      <c r="B15" s="14">
        <f>SUMIF(收入明细260410_1220131517[分类],"抖音来客",收入明细260410_1220131517[收入明细])</f>
        <v>0</v>
      </c>
      <c r="C15" s="16" t="e">
        <f>$B$15/$B$3</f>
        <v>#DIV/0!</v>
      </c>
    </row>
    <row r="16" customHeight="1" spans="1:3">
      <c r="A16" s="13" t="s">
        <v>62</v>
      </c>
      <c r="B16" s="14">
        <f>SUMIF(收入明细260410_1220131517[分类],"微信堂食",收入明细260410_1220131517[收入明细])</f>
        <v>0</v>
      </c>
      <c r="C16" s="16" t="e">
        <f>$B$16/$B$3</f>
        <v>#DIV/0!</v>
      </c>
    </row>
    <row r="17" customHeight="1" spans="1:3">
      <c r="A17" s="13" t="s">
        <v>63</v>
      </c>
      <c r="B17" s="14">
        <f>SUMIF(收入明细260410_1220131517[分类],"支付宝堂食",收入明细260410_1220131517[收入明细])</f>
        <v>0</v>
      </c>
      <c r="C17" s="16" t="e">
        <f>$B$17/$B$3</f>
        <v>#DIV/0!</v>
      </c>
    </row>
    <row r="18" customHeight="1" spans="1:3">
      <c r="A18" s="13" t="s">
        <v>64</v>
      </c>
      <c r="B18" s="14">
        <f>SUMIF(收入明细260410_1220131517[分类],"京东外卖",收入明细260410_1220131517[收入明细])</f>
        <v>0</v>
      </c>
      <c r="C18" s="16" t="e">
        <f>$B$18/$B$3</f>
        <v>#DIV/0!</v>
      </c>
    </row>
    <row r="19" customHeight="1" spans="1:3">
      <c r="A19" s="20" t="s">
        <v>65</v>
      </c>
      <c r="B19" s="21">
        <f>SUM(B13:B18)</f>
        <v>0</v>
      </c>
      <c r="C19" s="22" t="e">
        <f>SUM($C$13:$C$18)</f>
        <v>#DIV/0!</v>
      </c>
    </row>
    <row r="20" customFormat="1" customHeight="1" spans="1:1">
      <c r="A20" s="23"/>
    </row>
    <row r="21" customFormat="1" customHeight="1" spans="1:1">
      <c r="A21" s="23"/>
    </row>
    <row r="22" customHeight="1" spans="1:3">
      <c r="A22" s="24" t="s">
        <v>66</v>
      </c>
      <c r="B22" s="25"/>
      <c r="C22" s="25"/>
    </row>
    <row r="23" customHeight="1" spans="1:3">
      <c r="A23" s="26" t="s">
        <v>67</v>
      </c>
      <c r="B23" s="27"/>
      <c r="C23" s="28"/>
    </row>
    <row r="24" customHeight="1" spans="1:3">
      <c r="A24" s="13" t="s">
        <v>25</v>
      </c>
      <c r="B24" s="14">
        <f>SUMIF(支出明细26049_1119141618[分类],"食材",支出明细26049_1119141618[支出明细])</f>
        <v>7716.5</v>
      </c>
      <c r="C24" s="16">
        <f>$B$24/$B$4</f>
        <v>0.327671500456485</v>
      </c>
    </row>
    <row r="25" customHeight="1" spans="1:3">
      <c r="A25" s="13" t="s">
        <v>68</v>
      </c>
      <c r="B25" s="14">
        <f>SUMIF(支出明细26049_1119141618[分类],"工资",支出明细26049_1119141618[支出明细])</f>
        <v>8500</v>
      </c>
      <c r="C25" s="16">
        <f>$B$25/$B$4</f>
        <v>0.360941845899064</v>
      </c>
    </row>
    <row r="26" customHeight="1" spans="1:3">
      <c r="A26" s="13" t="s">
        <v>6</v>
      </c>
      <c r="B26" s="14">
        <f>SUMIF(支出明细26049_1119141618[分类],"房租",支出明细26049_1119141618[支出明细])</f>
        <v>4333</v>
      </c>
      <c r="C26" s="16">
        <f>$B$26/$B$4</f>
        <v>0.18399541391537</v>
      </c>
    </row>
    <row r="27" customHeight="1" spans="1:3">
      <c r="A27" s="13" t="s">
        <v>32</v>
      </c>
      <c r="B27" s="14">
        <f>SUMIF(支出明细26049_1119141618[分类],"推广",支出明细26049_1119141618[支出明细])</f>
        <v>0</v>
      </c>
      <c r="C27" s="16">
        <f>$B$27/$B$4</f>
        <v>0</v>
      </c>
    </row>
    <row r="28" customHeight="1" spans="1:3">
      <c r="A28" s="13" t="s">
        <v>37</v>
      </c>
      <c r="B28" s="14">
        <f>SUMIF(支出明细26049_1119141618[分类],"水电",支出明细26049_1119141618[支出明细])</f>
        <v>3000</v>
      </c>
      <c r="C28" s="16">
        <f>$B$28/$B$4</f>
        <v>0.127391239729081</v>
      </c>
    </row>
    <row r="29" customHeight="1" spans="1:3">
      <c r="A29" s="13" t="s">
        <v>14</v>
      </c>
      <c r="B29" s="14">
        <f>SUMIF(支出明细26049_1119141618[分类],"其他",支出明细26049_1119141618[支出明细])</f>
        <v>0</v>
      </c>
      <c r="C29" s="16">
        <f>$B$29/$B$4</f>
        <v>0</v>
      </c>
    </row>
    <row r="30" customHeight="1" spans="1:3">
      <c r="A30" s="29" t="s">
        <v>65</v>
      </c>
      <c r="B30" s="30">
        <f>SUM(B24:B29)</f>
        <v>23549.5</v>
      </c>
      <c r="C30" s="31">
        <f>SUM($C$24:$C$29)</f>
        <v>1</v>
      </c>
    </row>
    <row r="33" customHeight="1" spans="1:3">
      <c r="A33" s="1" t="s">
        <v>69</v>
      </c>
      <c r="B33" s="32" t="s">
        <v>4</v>
      </c>
      <c r="C33" s="33" t="s">
        <v>5</v>
      </c>
    </row>
    <row r="34" customHeight="1" spans="1:3">
      <c r="A34" s="34">
        <v>0</v>
      </c>
      <c r="B34" s="32" t="s">
        <v>62</v>
      </c>
      <c r="C34" s="33" t="s">
        <v>136</v>
      </c>
    </row>
    <row r="35" customHeight="1" spans="1:3">
      <c r="A35" s="34">
        <v>0</v>
      </c>
      <c r="B35" s="32" t="s">
        <v>62</v>
      </c>
      <c r="C35" s="33" t="s">
        <v>137</v>
      </c>
    </row>
    <row r="36" customHeight="1" spans="1:3">
      <c r="A36" s="34">
        <v>0</v>
      </c>
      <c r="B36" s="32" t="s">
        <v>63</v>
      </c>
      <c r="C36" s="33"/>
    </row>
    <row r="37" customHeight="1" spans="1:3">
      <c r="A37" s="34">
        <v>0</v>
      </c>
      <c r="B37" s="32" t="s">
        <v>64</v>
      </c>
      <c r="C37" s="33"/>
    </row>
    <row r="38" customHeight="1" spans="1:3">
      <c r="A38" s="34">
        <v>0</v>
      </c>
      <c r="B38" s="32" t="s">
        <v>60</v>
      </c>
      <c r="C38" s="33"/>
    </row>
    <row r="39" customHeight="1" spans="1:3">
      <c r="A39" s="34">
        <v>0</v>
      </c>
      <c r="B39" s="32" t="s">
        <v>61</v>
      </c>
      <c r="C39" s="33"/>
    </row>
    <row r="40" customHeight="1" spans="1:3">
      <c r="A40" s="1">
        <v>0</v>
      </c>
      <c r="B40" s="35" t="s">
        <v>135</v>
      </c>
      <c r="C40" s="36"/>
    </row>
    <row r="41" customHeight="1" spans="2:3">
      <c r="B41" s="35"/>
      <c r="C41" s="37"/>
    </row>
    <row r="42" customHeight="1" spans="2:3">
      <c r="B42" s="35"/>
      <c r="C42" s="37"/>
    </row>
    <row r="43" customHeight="1" spans="1:3">
      <c r="A43" s="1" t="s">
        <v>71</v>
      </c>
      <c r="B43" s="33" t="s">
        <v>4</v>
      </c>
      <c r="C43" s="33" t="s">
        <v>5</v>
      </c>
    </row>
    <row r="44" customHeight="1" spans="1:3">
      <c r="A44" s="1">
        <v>4333</v>
      </c>
      <c r="B44" s="33" t="s">
        <v>6</v>
      </c>
      <c r="C44" s="33" t="s">
        <v>72</v>
      </c>
    </row>
    <row r="45" customHeight="1" spans="1:3">
      <c r="A45" s="1">
        <v>8500</v>
      </c>
      <c r="B45" s="33" t="s">
        <v>68</v>
      </c>
      <c r="C45" s="33" t="s">
        <v>160</v>
      </c>
    </row>
    <row r="46" customHeight="1" spans="1:3">
      <c r="A46" s="1">
        <v>3000</v>
      </c>
      <c r="B46" s="33" t="s">
        <v>37</v>
      </c>
      <c r="C46" s="33" t="s">
        <v>160</v>
      </c>
    </row>
    <row r="47" customHeight="1" spans="1:3">
      <c r="A47" s="1">
        <v>272.2</v>
      </c>
      <c r="B47" s="2" t="s">
        <v>25</v>
      </c>
      <c r="C47" s="2" t="s">
        <v>170</v>
      </c>
    </row>
    <row r="48" customHeight="1" spans="1:3">
      <c r="A48" s="1">
        <v>6182</v>
      </c>
      <c r="B48" s="2" t="s">
        <v>25</v>
      </c>
      <c r="C48" s="2" t="s">
        <v>179</v>
      </c>
    </row>
    <row r="49" customHeight="1" spans="1:3">
      <c r="A49" s="1">
        <v>620</v>
      </c>
      <c r="B49" s="2" t="s">
        <v>25</v>
      </c>
      <c r="C49" s="2" t="s">
        <v>168</v>
      </c>
    </row>
    <row r="50" customHeight="1" spans="1:3">
      <c r="A50" s="1">
        <v>610.8</v>
      </c>
      <c r="B50" s="2" t="s">
        <v>25</v>
      </c>
      <c r="C50" s="2" t="s">
        <v>214</v>
      </c>
    </row>
    <row r="51" customHeight="1" spans="1:3">
      <c r="A51" s="1">
        <v>31.5</v>
      </c>
      <c r="B51" s="2" t="s">
        <v>25</v>
      </c>
      <c r="C51" s="2" t="s">
        <v>223</v>
      </c>
    </row>
  </sheetData>
  <mergeCells count="4">
    <mergeCell ref="A1:C1"/>
    <mergeCell ref="A11:C11"/>
    <mergeCell ref="A22:C22"/>
    <mergeCell ref="A23:C23"/>
  </mergeCells>
  <dataValidations count="1">
    <dataValidation type="list" allowBlank="1" showInputMessage="1" showErrorMessage="1" sqref="B47 B48 B49 B50 B51 B52 B2:B7 B44:B46">
      <formula1>"房租,其他,食材,推广,水电,工资"</formula1>
    </dataValidation>
  </dataValidations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开店成本清单</vt:lpstr>
      <vt:lpstr>2026-02流水</vt:lpstr>
      <vt:lpstr>2026-03流水</vt:lpstr>
      <vt:lpstr>2026-04流水</vt:lpstr>
      <vt:lpstr>2026-05流水</vt:lpstr>
      <vt:lpstr>2026-06流水</vt:lpstr>
      <vt:lpstr>2026-07流水</vt:lpstr>
      <vt:lpstr>2026-08流水</vt:lpstr>
      <vt:lpstr>2026-09流水</vt:lpstr>
      <vt:lpstr>2026-10流水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yalla</cp:lastModifiedBy>
  <dcterms:created xsi:type="dcterms:W3CDTF">2026-03-10T11:28:00Z</dcterms:created>
  <dcterms:modified xsi:type="dcterms:W3CDTF">2026-10-13T13:29:40Z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2052-5.1.0.7912</vt:lpwstr>
  </property>
</Properties>
</file>