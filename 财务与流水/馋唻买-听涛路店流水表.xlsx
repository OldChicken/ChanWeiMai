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<sst xmlns="http://schemas.openxmlformats.org/spreadsheetml/2006/main" count="560" uniqueCount="179">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</sst>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4" formatCode="_ &quot;￥&quot;* #,##0.00_ ;_ &quot;￥&quot;* \-#,##0.00_ ;_ &quot;￥&quot;* &quot;-&quot;??_ ;_ @_ "/>
    <numFmt numFmtId="178" formatCode="0.00_ ;[Red]\-0.00\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0" fillId="41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4" fillId="37" borderId="12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2" fillId="32" borderId="12" applyNumberFormat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6" fillId="18" borderId="9" applyNumberFormat="0" applyAlignment="0" applyProtection="0">
      <alignment vertical="center"/>
    </xf>
    <xf numFmtId="0" fontId="23" fillId="32" borderId="1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0" fillId="26" borderId="11" applyNumberFormat="0" applyFon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69">
  <autoFilter ref="A41:C69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46" sqref="D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9"/>
  <sheetViews>
    <sheetView tabSelected="1" workbookViewId="0">
      <selection activeCell="D67" sqref="D6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40594.09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-18679.92</v>
      </c>
      <c r="C5" s="10" t="s">
        <v>49</v>
      </c>
    </row>
    <row r="6" customHeight="1" spans="1:3">
      <c r="A6" s="10" t="s">
        <v>52</v>
      </c>
      <c r="B6" s="11">
        <f>$B$3-$B$4</f>
        <v>-40594.09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18679.92</v>
      </c>
      <c r="C23" s="12">
        <f>$B$23/$B$4</f>
        <v>0.460163536120652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0.295609533308913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0.106739675652293</v>
      </c>
    </row>
    <row r="26" customHeight="1" spans="1:3">
      <c r="A26" s="10" t="s">
        <v>32</v>
      </c>
      <c r="B26" s="11">
        <f>SUMIF(支出明细26049[分类],"推广",支出明细26049[支出明细])</f>
        <v>557.17</v>
      </c>
      <c r="C26" s="12">
        <f>$B$26/$B$4</f>
        <v>0.0137253969728106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0.0739023833272282</v>
      </c>
    </row>
    <row r="28" customHeight="1" spans="1:3">
      <c r="A28" s="10" t="s">
        <v>14</v>
      </c>
      <c r="B28" s="11">
        <f>SUMIF(支出明细26049[分类],"其他",支出明细26049[支出明细])</f>
        <v>2024</v>
      </c>
      <c r="C28" s="12">
        <f>$B$28/$B$4</f>
        <v>0.0498594746181033</v>
      </c>
    </row>
    <row r="29" customHeight="1" spans="1:3">
      <c r="A29" s="23" t="s">
        <v>65</v>
      </c>
      <c r="B29" s="24">
        <f>SUM(B23:B28)</f>
        <v>40594.09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162</v>
      </c>
    </row>
    <row r="44" customHeight="1" spans="1:3">
      <c r="A44" s="26">
        <v>3000</v>
      </c>
      <c r="B44" s="28" t="s">
        <v>37</v>
      </c>
      <c r="C44" s="28" t="s">
        <v>162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customHeight="1" spans="1:3">
      <c r="A48" s="26">
        <v>1275</v>
      </c>
      <c r="B48" s="2" t="s">
        <v>14</v>
      </c>
      <c r="C48" s="2" t="s">
        <v>159</v>
      </c>
    </row>
    <row r="49" customHeight="1" spans="1:3">
      <c r="A49" s="26">
        <v>200</v>
      </c>
      <c r="B49" s="2" t="s">
        <v>14</v>
      </c>
      <c r="C49" s="2" t="s">
        <v>165</v>
      </c>
    </row>
    <row r="50" customHeight="1" spans="1:3">
      <c r="A50" s="26">
        <v>678</v>
      </c>
      <c r="B50" s="2" t="s">
        <v>25</v>
      </c>
      <c r="C50" s="2" t="s">
        <v>166</v>
      </c>
    </row>
    <row r="51" customHeight="1" spans="1:3">
      <c r="A51" s="26">
        <v>6795</v>
      </c>
      <c r="B51" s="2" t="s">
        <v>25</v>
      </c>
      <c r="C51" s="2" t="s">
        <v>167</v>
      </c>
    </row>
    <row r="52" customHeight="1" spans="1:3">
      <c r="A52" s="26">
        <v>50</v>
      </c>
      <c r="B52" s="2" t="s">
        <v>14</v>
      </c>
      <c r="C52" s="2" t="s">
        <v>144</v>
      </c>
    </row>
    <row r="53" customHeight="1" spans="1:3">
      <c r="A53" s="26">
        <v>500</v>
      </c>
      <c r="B53" s="2" t="s">
        <v>25</v>
      </c>
      <c r="C53" s="2" t="s">
        <v>168</v>
      </c>
    </row>
    <row r="54" customHeight="1" spans="1:3">
      <c r="A54" s="26">
        <v>300</v>
      </c>
      <c r="B54" s="2" t="s">
        <v>32</v>
      </c>
      <c r="C54" s="2" t="s">
        <v>169</v>
      </c>
    </row>
    <row r="55" customHeight="1" spans="1:3">
      <c r="A55" s="26">
        <v>860</v>
      </c>
      <c r="B55" s="2" t="s">
        <v>25</v>
      </c>
      <c r="C55" s="2" t="s">
        <v>170</v>
      </c>
    </row>
    <row r="56" customHeight="1" spans="1:3">
      <c r="A56" s="26">
        <v>499</v>
      </c>
      <c r="B56" s="2" t="s">
        <v>14</v>
      </c>
      <c r="C56" s="2" t="s">
        <v>171</v>
      </c>
    </row>
    <row r="57" customHeight="1" spans="1:3">
      <c r="A57" s="26">
        <v>214.9</v>
      </c>
      <c r="B57" s="2" t="s">
        <v>25</v>
      </c>
      <c r="C57" s="2" t="s">
        <v>172</v>
      </c>
    </row>
    <row r="58" customHeight="1" spans="1:3">
      <c r="A58" s="26">
        <v>100</v>
      </c>
      <c r="B58" s="2" t="s">
        <v>32</v>
      </c>
      <c r="C58" s="2" t="s">
        <v>173</v>
      </c>
    </row>
    <row r="59" customHeight="1" spans="1:3">
      <c r="A59" s="26">
        <v>4282</v>
      </c>
      <c r="B59" s="2" t="s">
        <v>25</v>
      </c>
      <c r="C59" s="2" t="s">
        <v>174</v>
      </c>
    </row>
    <row r="60" customHeight="1" spans="1:3">
      <c r="A60" s="26">
        <v>38.92</v>
      </c>
      <c r="B60" s="2" t="s">
        <v>32</v>
      </c>
      <c r="C60" s="2" t="s">
        <v>175</v>
      </c>
    </row>
    <row r="61" customHeight="1" spans="1:3">
      <c r="A61" s="26">
        <v>38.3</v>
      </c>
      <c r="B61" s="2" t="s">
        <v>25</v>
      </c>
      <c r="C61" s="2" t="s">
        <v>176</v>
      </c>
    </row>
    <row r="62" customHeight="1" spans="1:3">
      <c r="A62" s="26">
        <v>38.1</v>
      </c>
      <c r="B62" s="2" t="s">
        <v>25</v>
      </c>
      <c r="C62" s="2" t="s">
        <v>177</v>
      </c>
    </row>
    <row r="63" customHeight="1" spans="1:3">
      <c r="A63" s="26">
        <v>635</v>
      </c>
      <c r="B63" s="2" t="s">
        <v>25</v>
      </c>
      <c r="C63" s="2" t="s">
        <v>168</v>
      </c>
    </row>
    <row r="64" customHeight="1" spans="1:3">
      <c r="A64" s="26">
        <v>482</v>
      </c>
      <c r="B64" s="2" t="s">
        <v>25</v>
      </c>
      <c r="C64" s="2" t="s">
        <v>170</v>
      </c>
    </row>
    <row r="65" customHeight="1" spans="1:3">
      <c r="A65" s="26">
        <v>100</v>
      </c>
      <c r="B65" s="2" t="s">
        <v>32</v>
      </c>
      <c r="C65" s="2" t="s">
        <v>111</v>
      </c>
    </row>
    <row r="66" customHeight="1" spans="1:3">
      <c r="A66" s="26">
        <v>291.46</v>
      </c>
      <c r="B66" s="2" t="s">
        <v>25</v>
      </c>
      <c r="C66" s="2" t="s">
        <v>178</v>
      </c>
    </row>
    <row r="67" customHeight="1" spans="1:3">
      <c r="A67" s="26">
        <v>296.64</v>
      </c>
      <c r="B67" s="2" t="s">
        <v>25</v>
      </c>
      <c r="C67" s="2" t="s">
        <v>178</v>
      </c>
    </row>
    <row r="68" customHeight="1" spans="1:3">
      <c r="A68" s="26">
        <v>18.25</v>
      </c>
      <c r="B68" s="2" t="s">
        <v>32</v>
      </c>
      <c r="C68" s="2" t="s">
        <v>175</v>
      </c>
    </row>
    <row r="69" customHeight="1" spans="1:3">
      <c r="A69" s="26">
        <v>51.6</v>
      </c>
      <c r="B69" s="2" t="s">
        <v>25</v>
      </c>
      <c r="C69" s="2" t="s">
        <v>115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56 B57 B58 B59 B60 B61 B62 B63 B64 B65 B66 B67 B68 B69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2026-03-02T19:28:00Z</dcterms:created>
  <dcterms:modified xsi:type="dcterms:W3CDTF">2026-05-23T19:37:49Z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