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120" tabRatio="723" firstSheet="1" activeTab="8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  <sheet name="2026-09流水" sheetId="9" r:id="rId9"/>
    <sheet name="2026-10流水" sheetId="10" r:id="rId10"/>
  </sheets>
  <calcPr calcId="144525"/>
</workbook>
</file>

<file path=xl/sharedStrings.xml><?xml version="1.0" encoding="utf-8"?>
<sst xmlns="http://schemas.openxmlformats.org/spreadsheetml/2006/main" count="1007" uniqueCount="221">
  <si>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</si>
  <si>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</si>
  <si>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</si>
  <si>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</si>
  <si>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</si>
  <si>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</si>
  <si>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</si>
  <si>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</si>
  <si>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</si>
  <si>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</si>
  <si>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</si>
  <si>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</si>
  <si>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</si>
  <si>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</si>
  <si>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</si>
  <si>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</si>
  <si>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</si>
  <si>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</si>
  <si>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</si>
  <si>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</si>
  <si>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</si>
  <si>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</si>
  <si>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</si>
  <si>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</si>
  <si>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</si>
  <si>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</si>
  <si>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</si>
  <si>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</si>
  <si>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</si>
  <si>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</si>
  <si>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</si>
  <si>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</si>
  <si>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</si>
  <si>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</si>
  <si>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</si>
  <si>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</si>
  <si>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</si>
  <si>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</si>
  <si>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</si>
  <si>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</si>
  <si>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</si>
  <si>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</si>
  <si>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</si>
  <si>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</si>
  <si>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</si>
  <si>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</si>
  <si>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</si>
  <si>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</si>
  <si>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</si>
  <si>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</si>
  <si>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</si>
  <si>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</si>
  <si>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</si>
  <si>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</si>
  <si>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</si>
  <si>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</si>
  <si>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</si>
  <si>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</si>
  <si>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</si>
  <si>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</si>
  <si>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</si>
  <si>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</si>
  <si>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</si>
  <si>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</si>
  <si>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</si>
  <si>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</si>
  <si>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</si>
  <si>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</si>
  <si>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</si>
  <si>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</si>
  <si>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</si>
  <si>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</si>
  <si>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</si>
  <si>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</si>
  <si>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</si>
  <si>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</si>
  <si>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</si>
  <si>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</si>
  <si>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</si>
  <si>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</si>
  <si>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</si>
  <si>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</si>
  <si>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</si>
  <si>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</si>
  <si>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</si>
  <si>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</si>
  <si>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</si>
  <si>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</si>
  <si>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</si>
  <si>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</si>
  <si>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</si>
  <si>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</si>
  <si>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</si>
  <si>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</si>
  <si>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</si>
  <si>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</si>
  <si>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</si>
  <si>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</si>
  <si>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</si>
  <si>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</si>
  <si>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</si>
  <si>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</si>
  <si>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</si>
  <si>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</si>
  <si>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</si>
  <si>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</si>
  <si>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</si>
  <si>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</si>
  <si>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</si>
  <si>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</si>
  <si>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</si>
  <si>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</si>
  <si>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</si>
  <si>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</si>
  <si>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</si>
  <si>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</si>
  <si>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</si>
  <si>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</si>
  <si>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</si>
  <si>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</si>
  <si>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</si>
  <si>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</si>
  <si>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</si>
  <si>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</si>
  <si>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</si>
  <si>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</si>
  <si>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</si>
  <si>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</si>
  <si>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</si>
  <si>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</si>
  <si>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</si>
  <si>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</si>
  <si>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</si>
  <si>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</si>
  <si>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</si>
  <si>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</si>
  <si>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</si>
  <si>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</si>
  <si>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</si>
  <si>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</si>
  <si>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</si>
  <si>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</si>
  <si>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</si>
  <si>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</si>
  <si>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</si>
  <si>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</si>
  <si>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</si>
  <si>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</si>
  <si>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</si>
  <si>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</si>
  <si>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</si>
  <si>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</si>
  <si>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</si>
  <si>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</si>
  <si>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</si>
  <si>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</si>
  <si>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</si>
  <si>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</si>
  <si>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</si>
  <si>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</si>
  <si>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</si>
  <si>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</si>
  <si>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</si>
  <si>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</si>
  <si>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</si>
  <si>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</si>
  <si>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</si>
  <si>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</si>
  <si>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</si>
  <si>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</si>
  <si>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</si>
  <si>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</si>
  <si>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</si>
  <si>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</si>
  <si>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</si>
  <si>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</si>
  <si>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</si>
  <si>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</si>
  <si>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</si>
  <si>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</si>
  <si>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</si>
  <si>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</si>
  <si>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</si>
  <si>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</si>
  <si>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</si>
  <si>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</si>
  <si>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</si>
  <si>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</si>
  <si>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</si>
  <si>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</si>
  <si>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</si>
  <si>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</si>
  <si>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</si>
  <si>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</si>
  <si>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</si>
  <si>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</si>
  <si>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</si>
  <si>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肉片第一次进货</t>
  </si>
  <si>
    <t>潮汕牛肉丸10包</t>
  </si>
  <si>
    <t>烧麦4袋</t>
  </si>
  <si>
    <t>表哥借款</t>
  </si>
  <si>
    <t>牛肉丸10包</t>
  </si>
  <si>
    <t>烧卖</t>
  </si>
  <si>
    <t>火鸡面1箱</t>
  </si>
  <si>
    <t>小郭不做了补货，货有问题</t>
  </si>
  <si>
    <t>筷子</t>
  </si>
  <si>
    <t>味精/味素</t>
  </si>
  <si>
    <t>肉筋</t>
  </si>
  <si>
    <t>肉片王道凯进货</t>
  </si>
  <si>
    <t>老池垫付相关</t>
  </si>
  <si>
    <t>牛筋丸5包</t>
  </si>
  <si>
    <t>京东刷单</t>
  </si>
  <si>
    <t>可乐一箱</t>
  </si>
  <si>
    <t>紫菜一包</t>
  </si>
  <si>
    <t>火鸡面</t>
  </si>
  <si>
    <t>快驴</t>
  </si>
  <si>
    <t>烧麦</t>
  </si>
  <si>
    <t>拼多多肉片</t>
  </si>
  <si>
    <t>王道凯肉片</t>
  </si>
  <si>
    <t>牛肉酱一瓶</t>
  </si>
  <si>
    <t>老池垫付</t>
  </si>
</sst>
</file>

<file path=xl/styles.xml><?xml version="1.0" encoding="utf-8"?>
<styleSheet xmlns="http://schemas.openxmlformats.org/spreadsheetml/2006/main">
  <numFmts count="7">
    <numFmt numFmtId="42" formatCode="_ &quot;￥&quot;* #,##0_ ;_ &quot;￥&quot;* \-#,##0_ ;_ &quot;￥&quot;* &quot;-&quot;_ ;_ @_ "/>
    <numFmt numFmtId="176" formatCode="#,##0.00_ "/>
    <numFmt numFmtId="177" formatCode="0.00_ ;[Red]\-0.00\ "/>
    <numFmt numFmtId="178" formatCode="0.00_);[Red]\(0.00\)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3F3F7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7" fillId="41" borderId="0" applyNumberFormat="0" applyBorder="0" applyAlignment="0" applyProtection="0">
      <alignment vertical="center"/>
    </xf>
    <xf numFmtId="0" fontId="6" fillId="37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19" fillId="35" borderId="10" applyNumberFormat="0" applyAlignment="0" applyProtection="0">
      <alignment vertical="center"/>
    </xf>
    <xf numFmtId="0" fontId="6" fillId="40" borderId="0" applyNumberFormat="0" applyBorder="0" applyAlignment="0" applyProtection="0">
      <alignment vertical="center"/>
    </xf>
    <xf numFmtId="0" fontId="6" fillId="4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22" fillId="24" borderId="10" applyNumberFormat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3" fillId="25" borderId="8" applyNumberFormat="0" applyAlignment="0" applyProtection="0">
      <alignment vertical="center"/>
    </xf>
    <xf numFmtId="0" fontId="12" fillId="24" borderId="7" applyNumberFormat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3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0" fillId="33" borderId="9" applyNumberFormat="0" applyFont="0" applyAlignment="0" applyProtection="0">
      <alignment vertical="center"/>
    </xf>
    <xf numFmtId="0" fontId="6" fillId="38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1" fillId="0" borderId="12" applyNumberFormat="0" applyFill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21" fillId="0" borderId="11" applyNumberFormat="0" applyFill="0" applyAlignment="0" applyProtection="0">
      <alignment vertical="center"/>
    </xf>
  </cellStyleXfs>
  <cellXfs count="82">
    <xf numFmtId="0" fontId="0" fillId="0" borderId="0" xfId="0"/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7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8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8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6">
  <autoFilter ref="A43:C6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61">
  <autoFilter ref="A43:C61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4" name="收入明细260410_12201315" displayName="收入明细260410_12201315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5" name="支出明细26049_11191416" displayName="支出明细26049_11191416" ref="A43:C61">
  <autoFilter ref="A43:C61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6" name="收入明细260410_1220131517" displayName="收入明细260410_1220131517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7" name="支出明细26049_1119141618" displayName="支出明细26049_1119141618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25" defaultRowHeight="25.15" customHeight="1" outlineLevelCol="2"/>
  <cols>
    <col min="1" max="1" width="30.625" style="77" customWidth="1"/>
    <col min="2" max="2" width="30.625" style="78" customWidth="1"/>
    <col min="3" max="3" width="30.625" style="79" customWidth="1"/>
    <col min="4" max="4" width="30.625" style="78" customWidth="1"/>
    <col min="5" max="16384" width="30.625" style="78"/>
  </cols>
  <sheetData>
    <row r="1" customHeight="1" spans="1:3">
      <c r="A1" s="77" t="s">
        <v>0</v>
      </c>
      <c r="B1" s="80">
        <v>100000</v>
      </c>
      <c r="C1" s="78"/>
    </row>
    <row r="2" customHeight="1" spans="1:3">
      <c r="A2" s="77" t="s">
        <v>1</v>
      </c>
      <c r="B2" s="79">
        <f>SUM(成本明细[金额(元)])</f>
        <v>101248.03</v>
      </c>
      <c r="C2" s="78"/>
    </row>
    <row r="3" customHeight="1" spans="1:3">
      <c r="A3" s="77" t="s">
        <v>2</v>
      </c>
      <c r="B3" s="79">
        <f>B1-B2</f>
        <v>-1248.03000000001</v>
      </c>
      <c r="C3" s="78"/>
    </row>
    <row r="6" customHeight="1" spans="1:3">
      <c r="A6" s="77" t="s">
        <v>3</v>
      </c>
      <c r="B6" s="78" t="s">
        <v>4</v>
      </c>
      <c r="C6" s="79" t="s">
        <v>5</v>
      </c>
    </row>
    <row r="7" customHeight="1" spans="1:3">
      <c r="A7" s="81">
        <v>10000</v>
      </c>
      <c r="B7" s="78" t="s">
        <v>6</v>
      </c>
      <c r="C7" s="79" t="s">
        <v>7</v>
      </c>
    </row>
    <row r="8" customHeight="1" spans="1:3">
      <c r="A8" s="81">
        <v>26000</v>
      </c>
      <c r="B8" s="78" t="s">
        <v>6</v>
      </c>
      <c r="C8" s="79" t="s">
        <v>8</v>
      </c>
    </row>
    <row r="9" customHeight="1" spans="1:3">
      <c r="A9" s="81">
        <v>6000</v>
      </c>
      <c r="B9" s="78" t="s">
        <v>9</v>
      </c>
      <c r="C9" s="79" t="s">
        <v>10</v>
      </c>
    </row>
    <row r="10" customHeight="1" spans="1:3">
      <c r="A10" s="81">
        <v>3000</v>
      </c>
      <c r="B10" s="78" t="s">
        <v>9</v>
      </c>
      <c r="C10" s="79" t="s">
        <v>11</v>
      </c>
    </row>
    <row r="11" customHeight="1" spans="1:3">
      <c r="A11" s="81">
        <v>2100</v>
      </c>
      <c r="B11" s="78" t="s">
        <v>9</v>
      </c>
      <c r="C11" s="79" t="s">
        <v>12</v>
      </c>
    </row>
    <row r="12" customHeight="1" spans="1:3">
      <c r="A12" s="81">
        <v>340</v>
      </c>
      <c r="B12" s="78" t="s">
        <v>9</v>
      </c>
      <c r="C12" s="79" t="s">
        <v>13</v>
      </c>
    </row>
    <row r="13" customHeight="1" spans="1:3">
      <c r="A13" s="81">
        <v>200</v>
      </c>
      <c r="B13" s="78" t="s">
        <v>14</v>
      </c>
      <c r="C13" s="79" t="s">
        <v>15</v>
      </c>
    </row>
    <row r="14" customHeight="1" spans="1:3">
      <c r="A14" s="81">
        <v>11000</v>
      </c>
      <c r="B14" s="78" t="s">
        <v>16</v>
      </c>
      <c r="C14" s="79" t="s">
        <v>17</v>
      </c>
    </row>
    <row r="15" customHeight="1" spans="1:3">
      <c r="A15" s="81">
        <v>5000</v>
      </c>
      <c r="B15" s="78" t="s">
        <v>9</v>
      </c>
      <c r="C15" s="79" t="s">
        <v>18</v>
      </c>
    </row>
    <row r="16" customHeight="1" spans="1:3">
      <c r="A16" s="81">
        <v>755</v>
      </c>
      <c r="B16" s="78" t="s">
        <v>16</v>
      </c>
      <c r="C16" s="79" t="s">
        <v>19</v>
      </c>
    </row>
    <row r="17" customHeight="1" spans="1:3">
      <c r="A17" s="81">
        <v>190</v>
      </c>
      <c r="B17" s="78" t="s">
        <v>9</v>
      </c>
      <c r="C17" s="79" t="s">
        <v>20</v>
      </c>
    </row>
    <row r="18" customHeight="1" spans="1:3">
      <c r="A18" s="81">
        <v>405.9</v>
      </c>
      <c r="B18" s="78" t="s">
        <v>16</v>
      </c>
      <c r="C18" s="79" t="s">
        <v>21</v>
      </c>
    </row>
    <row r="19" customHeight="1" spans="1:3">
      <c r="A19" s="81">
        <v>228</v>
      </c>
      <c r="B19" s="78" t="s">
        <v>16</v>
      </c>
      <c r="C19" s="79" t="s">
        <v>22</v>
      </c>
    </row>
    <row r="20" customHeight="1" spans="1:3">
      <c r="A20" s="81">
        <v>639.5</v>
      </c>
      <c r="B20" s="78" t="s">
        <v>16</v>
      </c>
      <c r="C20" s="79" t="s">
        <v>23</v>
      </c>
    </row>
    <row r="21" customHeight="1" spans="1:3">
      <c r="A21" s="81">
        <v>1259.1</v>
      </c>
      <c r="B21" s="78" t="s">
        <v>16</v>
      </c>
      <c r="C21" s="79" t="s">
        <v>24</v>
      </c>
    </row>
    <row r="22" customHeight="1" spans="1:3">
      <c r="A22" s="81">
        <v>1000</v>
      </c>
      <c r="B22" s="78" t="s">
        <v>25</v>
      </c>
      <c r="C22" s="79" t="s">
        <v>26</v>
      </c>
    </row>
    <row r="23" customHeight="1" spans="1:3">
      <c r="A23" s="81">
        <v>13260</v>
      </c>
      <c r="B23" s="78" t="s">
        <v>25</v>
      </c>
      <c r="C23" s="79" t="s">
        <v>27</v>
      </c>
    </row>
    <row r="24" customHeight="1" spans="1:3">
      <c r="A24" s="81">
        <v>47.97</v>
      </c>
      <c r="B24" s="78" t="s">
        <v>14</v>
      </c>
      <c r="C24" s="79" t="s">
        <v>28</v>
      </c>
    </row>
    <row r="25" customHeight="1" spans="1:3">
      <c r="A25" s="81">
        <v>276.1</v>
      </c>
      <c r="B25" s="78" t="s">
        <v>14</v>
      </c>
      <c r="C25" s="79" t="s">
        <v>29</v>
      </c>
    </row>
    <row r="26" customHeight="1" spans="1:3">
      <c r="A26" s="81">
        <v>6000</v>
      </c>
      <c r="B26" s="78" t="s">
        <v>9</v>
      </c>
      <c r="C26" s="79" t="s">
        <v>30</v>
      </c>
    </row>
    <row r="27" customHeight="1" spans="1:3">
      <c r="A27" s="81">
        <v>640</v>
      </c>
      <c r="B27" s="78" t="s">
        <v>9</v>
      </c>
      <c r="C27" s="79" t="s">
        <v>31</v>
      </c>
    </row>
    <row r="28" customHeight="1" spans="1:3">
      <c r="A28" s="81">
        <v>500</v>
      </c>
      <c r="B28" s="78" t="s">
        <v>32</v>
      </c>
      <c r="C28" s="79" t="s">
        <v>33</v>
      </c>
    </row>
    <row r="29" customHeight="1" spans="1:3">
      <c r="A29" s="81">
        <v>600</v>
      </c>
      <c r="B29" s="78" t="s">
        <v>32</v>
      </c>
      <c r="C29" s="79" t="s">
        <v>34</v>
      </c>
    </row>
    <row r="30" customHeight="1" spans="1:3">
      <c r="A30" s="81">
        <v>938</v>
      </c>
      <c r="B30" s="78" t="s">
        <v>25</v>
      </c>
      <c r="C30" s="79" t="s">
        <v>35</v>
      </c>
    </row>
    <row r="31" customHeight="1" spans="1:3">
      <c r="A31" s="81">
        <v>1000</v>
      </c>
      <c r="B31" s="78" t="s">
        <v>25</v>
      </c>
      <c r="C31" s="79" t="s">
        <v>26</v>
      </c>
    </row>
    <row r="32" customHeight="1" spans="1:3">
      <c r="A32" s="81">
        <v>60.5</v>
      </c>
      <c r="B32" s="78" t="s">
        <v>25</v>
      </c>
      <c r="C32" s="79" t="s">
        <v>36</v>
      </c>
    </row>
    <row r="33" customHeight="1" spans="1:3">
      <c r="A33" s="81">
        <v>162.41</v>
      </c>
      <c r="B33" s="78" t="s">
        <v>37</v>
      </c>
      <c r="C33" s="79" t="s">
        <v>38</v>
      </c>
    </row>
    <row r="34" customHeight="1" spans="1:3">
      <c r="A34" s="81">
        <v>42.16</v>
      </c>
      <c r="B34" s="78" t="s">
        <v>25</v>
      </c>
      <c r="C34" s="79" t="s">
        <v>35</v>
      </c>
    </row>
    <row r="35" customHeight="1" spans="1:3">
      <c r="A35" s="81">
        <v>1000</v>
      </c>
      <c r="B35" s="78" t="s">
        <v>25</v>
      </c>
      <c r="C35" s="79" t="s">
        <v>26</v>
      </c>
    </row>
    <row r="36" customHeight="1" spans="1:3">
      <c r="A36" s="81">
        <v>500</v>
      </c>
      <c r="B36" s="78" t="s">
        <v>9</v>
      </c>
      <c r="C36" s="79" t="s">
        <v>39</v>
      </c>
    </row>
    <row r="37" customHeight="1" spans="1:3">
      <c r="A37" s="81">
        <v>1300</v>
      </c>
      <c r="B37" s="78" t="s">
        <v>25</v>
      </c>
      <c r="C37" s="79" t="s">
        <v>40</v>
      </c>
    </row>
    <row r="38" customHeight="1" spans="1:3">
      <c r="A38" s="81">
        <v>253.84</v>
      </c>
      <c r="B38" s="78" t="s">
        <v>25</v>
      </c>
      <c r="C38" s="79" t="s">
        <v>36</v>
      </c>
    </row>
    <row r="39" customHeight="1" spans="1:3">
      <c r="A39" s="81">
        <v>1000</v>
      </c>
      <c r="B39" s="78" t="s">
        <v>25</v>
      </c>
      <c r="C39" s="79" t="s">
        <v>26</v>
      </c>
    </row>
    <row r="40" customHeight="1" spans="1:3">
      <c r="A40" s="81">
        <v>355.3</v>
      </c>
      <c r="B40" s="78" t="s">
        <v>25</v>
      </c>
      <c r="C40" s="79" t="s">
        <v>36</v>
      </c>
    </row>
    <row r="41" customHeight="1" spans="1:3">
      <c r="A41" s="81">
        <v>3000</v>
      </c>
      <c r="B41" s="78" t="s">
        <v>25</v>
      </c>
      <c r="C41" s="79" t="s">
        <v>41</v>
      </c>
    </row>
    <row r="42" customHeight="1" spans="1:3">
      <c r="A42" s="81">
        <v>174</v>
      </c>
      <c r="B42" s="78" t="s">
        <v>25</v>
      </c>
      <c r="C42" s="79" t="s">
        <v>36</v>
      </c>
    </row>
    <row r="43" customHeight="1" spans="1:3">
      <c r="A43" s="81">
        <v>33.6</v>
      </c>
      <c r="B43" s="78" t="s">
        <v>14</v>
      </c>
      <c r="C43" s="79" t="s">
        <v>42</v>
      </c>
    </row>
    <row r="44" customHeight="1" spans="1:3">
      <c r="A44" s="81">
        <v>500</v>
      </c>
      <c r="B44" s="78" t="s">
        <v>25</v>
      </c>
      <c r="C44" s="79" t="s">
        <v>26</v>
      </c>
    </row>
    <row r="45" customHeight="1" spans="1:3">
      <c r="A45" s="81">
        <v>1486.65</v>
      </c>
      <c r="B45" s="81" t="s">
        <v>16</v>
      </c>
      <c r="C45" s="81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25" defaultRowHeight="25.15" customHeight="1" outlineLevelCol="3"/>
  <cols>
    <col min="1" max="2" width="30.625" style="47" customWidth="1"/>
    <col min="3" max="3" width="30.625" style="48" customWidth="1"/>
    <col min="4" max="4" width="30.625" style="47" customWidth="1"/>
    <col min="5" max="16384" width="30.625" style="47"/>
  </cols>
  <sheetData>
    <row r="1" s="4" customFormat="1" customHeight="1" spans="1:3">
      <c r="A1" s="49" t="s">
        <v>44</v>
      </c>
      <c r="C1" s="32"/>
    </row>
    <row r="2" customHeight="1" spans="1:3">
      <c r="A2" s="50" t="s">
        <v>45</v>
      </c>
      <c r="B2" s="50" t="s">
        <v>46</v>
      </c>
      <c r="C2" s="51" t="s">
        <v>47</v>
      </c>
    </row>
    <row r="3" customHeight="1" spans="1:3">
      <c r="A3" s="52" t="s">
        <v>48</v>
      </c>
      <c r="B3" s="53">
        <f>SUM(收入明细2602[收入明细])</f>
        <v>42435.74</v>
      </c>
      <c r="C3" s="52" t="s">
        <v>49</v>
      </c>
    </row>
    <row r="4" customHeight="1" spans="1:3">
      <c r="A4" s="54" t="s">
        <v>50</v>
      </c>
      <c r="B4" s="55">
        <f>SUM(支出明细2602[支出明细])</f>
        <v>40327.81</v>
      </c>
      <c r="C4" s="54" t="s">
        <v>49</v>
      </c>
    </row>
    <row r="5" customHeight="1" spans="1:3">
      <c r="A5" s="56" t="s">
        <v>51</v>
      </c>
      <c r="B5" s="57">
        <f>$B$3-SUMIF(支出明细2602[分类],"食材",支出明细2602[支出明细])</f>
        <v>18551.94</v>
      </c>
      <c r="C5" s="56" t="s">
        <v>49</v>
      </c>
    </row>
    <row r="6" customHeight="1" spans="1:3">
      <c r="A6" s="56" t="s">
        <v>52</v>
      </c>
      <c r="B6" s="57">
        <f>$B$3-$B$4</f>
        <v>2107.93</v>
      </c>
      <c r="C6" s="56" t="s">
        <v>49</v>
      </c>
    </row>
    <row r="7" customHeight="1" spans="1:3">
      <c r="A7" s="56" t="s">
        <v>53</v>
      </c>
      <c r="B7" s="58">
        <f>$B$5/$B$3</f>
        <v>0.437177247292023</v>
      </c>
      <c r="C7" s="58" t="s">
        <v>54</v>
      </c>
    </row>
    <row r="8" customHeight="1" spans="1:3">
      <c r="A8" s="56" t="s">
        <v>55</v>
      </c>
      <c r="B8" s="58">
        <f>$B$6/$B$3</f>
        <v>0.0496734592115043</v>
      </c>
      <c r="C8" s="58" t="s">
        <v>54</v>
      </c>
    </row>
    <row r="11" customHeight="1" spans="1:1">
      <c r="A11" s="59" t="s">
        <v>56</v>
      </c>
    </row>
    <row r="12" customHeight="1" spans="1:3">
      <c r="A12" s="60" t="s">
        <v>57</v>
      </c>
      <c r="B12" s="60" t="s">
        <v>58</v>
      </c>
      <c r="C12" s="60" t="s">
        <v>59</v>
      </c>
    </row>
    <row r="13" customHeight="1" spans="1:3">
      <c r="A13" s="56" t="s">
        <v>60</v>
      </c>
      <c r="B13" s="57">
        <f>SUMIF(收入明细2602[分类],"淘宝外卖",收入明细2602[收入明细])</f>
        <v>19919.1</v>
      </c>
      <c r="C13" s="58">
        <f>$B$13/$B$3</f>
        <v>0.469394430260907</v>
      </c>
    </row>
    <row r="14" customHeight="1" spans="1:3">
      <c r="A14" s="61" t="s">
        <v>61</v>
      </c>
      <c r="B14" s="62">
        <f>SUMIF(收入明细2602[分类],"美团外卖",收入明细2602[收入明细])</f>
        <v>13970.88</v>
      </c>
      <c r="C14" s="63">
        <f>$B$14/$B$3</f>
        <v>0.329224375491037</v>
      </c>
    </row>
    <row r="15" customHeight="1" spans="1:3">
      <c r="A15" s="56" t="s">
        <v>62</v>
      </c>
      <c r="B15" s="57">
        <f>SUMIF(收入明细2602[分类],"微信堂食",收入明细2602[收入明细])</f>
        <v>6683.96</v>
      </c>
      <c r="C15" s="58">
        <f>$B$15/$B$3</f>
        <v>0.157507798850686</v>
      </c>
    </row>
    <row r="16" customHeight="1" spans="1:3">
      <c r="A16" s="61" t="s">
        <v>63</v>
      </c>
      <c r="B16" s="62">
        <f>SUMIF(收入明细2602[分类],"支付宝堂食",收入明细2602[收入明细])</f>
        <v>1861.8</v>
      </c>
      <c r="C16" s="63">
        <f>$B$16/$B$3</f>
        <v>0.0438733953973702</v>
      </c>
    </row>
    <row r="17" customHeight="1" spans="1:3">
      <c r="A17" s="56" t="s">
        <v>64</v>
      </c>
      <c r="B17" s="57">
        <f>SUMIF(收入明细2602[分类],"京东外卖",收入明细2602[收入明细])</f>
        <v>0</v>
      </c>
      <c r="C17" s="58">
        <f>$B$17/$B$3</f>
        <v>0</v>
      </c>
    </row>
    <row r="18" customHeight="1" spans="1:3">
      <c r="A18" s="64" t="s">
        <v>65</v>
      </c>
      <c r="B18" s="65">
        <f>SUM(收入明细2602[收入明细])</f>
        <v>42435.74</v>
      </c>
      <c r="C18" s="66">
        <f>SUM($C$13:$C$17)</f>
        <v>1</v>
      </c>
    </row>
    <row r="21" customHeight="1" spans="1:1">
      <c r="A21" s="67" t="s">
        <v>66</v>
      </c>
    </row>
    <row r="22" customHeight="1" spans="1:3">
      <c r="A22" s="68" t="s">
        <v>67</v>
      </c>
      <c r="B22" s="68" t="s">
        <v>58</v>
      </c>
      <c r="C22" s="68" t="s">
        <v>59</v>
      </c>
    </row>
    <row r="23" customHeight="1" spans="1:3">
      <c r="A23" s="61" t="s">
        <v>25</v>
      </c>
      <c r="B23" s="62">
        <f>SUMIF(支出明细2602[分类],"食材",支出明细2602[支出明细])</f>
        <v>23883.8</v>
      </c>
      <c r="C23" s="63">
        <f>$B$23/$B$4</f>
        <v>0.592241433392986</v>
      </c>
    </row>
    <row r="24" customHeight="1" spans="1:3">
      <c r="A24" s="56" t="s">
        <v>68</v>
      </c>
      <c r="B24" s="57">
        <f>SUMIF(支出明细2602[分类],"工资",支出明细2602[支出明细])</f>
        <v>8500</v>
      </c>
      <c r="C24" s="58">
        <f>$B$24/$B$4</f>
        <v>0.210772665314581</v>
      </c>
    </row>
    <row r="25" customHeight="1" spans="1:3">
      <c r="A25" s="61" t="s">
        <v>6</v>
      </c>
      <c r="B25" s="62">
        <f>SUMIF(支出明细2602[分类],"房租",支出明细2602[支出明细])</f>
        <v>4333</v>
      </c>
      <c r="C25" s="63">
        <f>$B$25/$B$4</f>
        <v>0.107444465742127</v>
      </c>
    </row>
    <row r="26" customHeight="1" spans="1:3">
      <c r="A26" s="56" t="s">
        <v>32</v>
      </c>
      <c r="B26" s="57">
        <f>SUMIF(支出明细2602[分类],"推广",支出明细2602[支出明细])</f>
        <v>600</v>
      </c>
      <c r="C26" s="58">
        <f>$B$26/$B$4</f>
        <v>0.0148780704927939</v>
      </c>
    </row>
    <row r="27" customHeight="1" spans="1:3">
      <c r="A27" s="61" t="s">
        <v>37</v>
      </c>
      <c r="B27" s="62">
        <f>SUMIF(支出明细2602[分类],"水电",支出明细2602[支出明细])</f>
        <v>2977.41</v>
      </c>
      <c r="C27" s="63">
        <f>$B$27/$B$4</f>
        <v>0.073830193109916</v>
      </c>
    </row>
    <row r="28" customHeight="1" spans="1:3">
      <c r="A28" s="56" t="s">
        <v>14</v>
      </c>
      <c r="B28" s="57">
        <f>SUMIF(支出明细2602[分类],"其他",支出明细2602[支出明细])</f>
        <v>33.6</v>
      </c>
      <c r="C28" s="58">
        <f>$B$28/$B$4</f>
        <v>0.00083317194759646</v>
      </c>
    </row>
    <row r="29" customHeight="1" spans="1:3">
      <c r="A29" s="69" t="s">
        <v>65</v>
      </c>
      <c r="B29" s="70">
        <f>SUM(支出明细2602[支出明细])</f>
        <v>40327.81</v>
      </c>
      <c r="C29" s="71">
        <f>SUM($C$23:$C$28)</f>
        <v>1</v>
      </c>
    </row>
    <row r="32" customHeight="1" spans="1:3">
      <c r="A32" s="72" t="s">
        <v>69</v>
      </c>
      <c r="B32" s="47" t="s">
        <v>4</v>
      </c>
      <c r="C32" s="73" t="s">
        <v>5</v>
      </c>
    </row>
    <row r="33" customHeight="1" spans="1:3">
      <c r="A33" s="74">
        <v>6683.96</v>
      </c>
      <c r="B33" s="47" t="s">
        <v>62</v>
      </c>
      <c r="C33" s="75"/>
    </row>
    <row r="34" customHeight="1" spans="1:3">
      <c r="A34" s="74">
        <v>1861.8</v>
      </c>
      <c r="B34" s="47" t="s">
        <v>63</v>
      </c>
      <c r="C34" s="75"/>
    </row>
    <row r="35" customHeight="1" spans="1:3">
      <c r="A35" s="74">
        <v>0</v>
      </c>
      <c r="B35" s="47" t="s">
        <v>64</v>
      </c>
      <c r="C35" s="75" t="s">
        <v>70</v>
      </c>
    </row>
    <row r="36" customHeight="1" spans="1:3">
      <c r="A36" s="74">
        <v>19919.1</v>
      </c>
      <c r="B36" s="47" t="s">
        <v>60</v>
      </c>
      <c r="C36" s="75"/>
    </row>
    <row r="37" customHeight="1" spans="1:3">
      <c r="A37" s="74">
        <v>13970.88</v>
      </c>
      <c r="B37" s="47" t="s">
        <v>61</v>
      </c>
      <c r="C37" s="75"/>
    </row>
    <row r="40" customHeight="1" spans="1:4">
      <c r="A40" s="76" t="s">
        <v>71</v>
      </c>
      <c r="B40" s="73" t="s">
        <v>4</v>
      </c>
      <c r="C40" s="75" t="s">
        <v>5</v>
      </c>
      <c r="D40" s="4"/>
    </row>
    <row r="41" customHeight="1" spans="1:4">
      <c r="A41" s="76">
        <v>4333</v>
      </c>
      <c r="B41" s="73" t="s">
        <v>6</v>
      </c>
      <c r="C41" s="75" t="s">
        <v>72</v>
      </c>
      <c r="D41" s="4"/>
    </row>
    <row r="42" customHeight="1" spans="1:4">
      <c r="A42" s="76">
        <v>8500</v>
      </c>
      <c r="B42" s="73" t="s">
        <v>68</v>
      </c>
      <c r="C42" s="75" t="s">
        <v>73</v>
      </c>
      <c r="D42" s="4"/>
    </row>
    <row r="43" customHeight="1" spans="1:4">
      <c r="A43" s="76">
        <v>1000</v>
      </c>
      <c r="B43" s="73" t="s">
        <v>25</v>
      </c>
      <c r="C43" s="75" t="s">
        <v>26</v>
      </c>
      <c r="D43" s="4"/>
    </row>
    <row r="44" customHeight="1" spans="1:4">
      <c r="A44" s="76">
        <v>13260</v>
      </c>
      <c r="B44" s="73" t="s">
        <v>25</v>
      </c>
      <c r="C44" s="75" t="s">
        <v>27</v>
      </c>
      <c r="D44" s="4"/>
    </row>
    <row r="45" customHeight="1" spans="1:4">
      <c r="A45" s="76">
        <v>600</v>
      </c>
      <c r="B45" s="73" t="s">
        <v>32</v>
      </c>
      <c r="C45" s="75" t="s">
        <v>34</v>
      </c>
      <c r="D45" s="4"/>
    </row>
    <row r="46" customHeight="1" spans="1:4">
      <c r="A46" s="76">
        <v>938</v>
      </c>
      <c r="B46" s="73" t="s">
        <v>25</v>
      </c>
      <c r="C46" s="75" t="s">
        <v>35</v>
      </c>
      <c r="D46" s="4"/>
    </row>
    <row r="47" customHeight="1" spans="1:4">
      <c r="A47" s="76">
        <v>1000</v>
      </c>
      <c r="B47" s="73" t="s">
        <v>25</v>
      </c>
      <c r="C47" s="75" t="s">
        <v>26</v>
      </c>
      <c r="D47" s="4"/>
    </row>
    <row r="48" customHeight="1" spans="1:4">
      <c r="A48" s="76">
        <v>60.5</v>
      </c>
      <c r="B48" s="73" t="s">
        <v>25</v>
      </c>
      <c r="C48" s="75" t="s">
        <v>36</v>
      </c>
      <c r="D48" s="4"/>
    </row>
    <row r="49" customHeight="1" spans="1:4">
      <c r="A49" s="76">
        <v>162.41</v>
      </c>
      <c r="B49" s="73" t="s">
        <v>37</v>
      </c>
      <c r="C49" s="75" t="s">
        <v>74</v>
      </c>
      <c r="D49" s="4"/>
    </row>
    <row r="50" customHeight="1" spans="1:4">
      <c r="A50" s="76">
        <v>2815</v>
      </c>
      <c r="B50" s="73" t="s">
        <v>37</v>
      </c>
      <c r="C50" s="75" t="s">
        <v>75</v>
      </c>
      <c r="D50" s="4"/>
    </row>
    <row r="51" customHeight="1" spans="1:4">
      <c r="A51" s="76">
        <v>42.16</v>
      </c>
      <c r="B51" s="73" t="s">
        <v>25</v>
      </c>
      <c r="C51" s="75" t="s">
        <v>35</v>
      </c>
      <c r="D51" s="4"/>
    </row>
    <row r="52" customHeight="1" spans="1:4">
      <c r="A52" s="76">
        <v>1000</v>
      </c>
      <c r="B52" s="73" t="s">
        <v>25</v>
      </c>
      <c r="C52" s="75" t="s">
        <v>26</v>
      </c>
      <c r="D52" s="4"/>
    </row>
    <row r="53" customHeight="1" spans="1:4">
      <c r="A53" s="76">
        <v>1300</v>
      </c>
      <c r="B53" s="73" t="s">
        <v>25</v>
      </c>
      <c r="C53" s="75" t="s">
        <v>76</v>
      </c>
      <c r="D53" s="4"/>
    </row>
    <row r="54" customHeight="1" spans="1:4">
      <c r="A54" s="76">
        <v>253.84</v>
      </c>
      <c r="B54" s="73" t="s">
        <v>25</v>
      </c>
      <c r="C54" s="75" t="s">
        <v>36</v>
      </c>
      <c r="D54" s="4"/>
    </row>
    <row r="55" customHeight="1" spans="1:4">
      <c r="A55" s="76">
        <v>1000</v>
      </c>
      <c r="B55" s="73" t="s">
        <v>25</v>
      </c>
      <c r="C55" s="75" t="s">
        <v>26</v>
      </c>
      <c r="D55" s="4"/>
    </row>
    <row r="56" customHeight="1" spans="1:4">
      <c r="A56" s="76">
        <v>355.3</v>
      </c>
      <c r="B56" s="73" t="s">
        <v>25</v>
      </c>
      <c r="C56" s="75" t="s">
        <v>36</v>
      </c>
      <c r="D56" s="4"/>
    </row>
    <row r="57" customHeight="1" spans="1:4">
      <c r="A57" s="76">
        <v>3000</v>
      </c>
      <c r="B57" s="73" t="s">
        <v>25</v>
      </c>
      <c r="C57" s="75" t="s">
        <v>41</v>
      </c>
      <c r="D57" s="4"/>
    </row>
    <row r="58" customHeight="1" spans="1:4">
      <c r="A58" s="76">
        <v>174</v>
      </c>
      <c r="B58" s="73" t="s">
        <v>25</v>
      </c>
      <c r="C58" s="75" t="s">
        <v>36</v>
      </c>
      <c r="D58" s="4"/>
    </row>
    <row r="59" customHeight="1" spans="1:4">
      <c r="A59" s="76">
        <v>33.6</v>
      </c>
      <c r="B59" s="73" t="s">
        <v>14</v>
      </c>
      <c r="C59" s="75" t="s">
        <v>42</v>
      </c>
      <c r="D59" s="4"/>
    </row>
    <row r="60" customHeight="1" spans="1:4">
      <c r="A60" s="76">
        <v>500</v>
      </c>
      <c r="B60" s="73" t="s">
        <v>25</v>
      </c>
      <c r="C60" s="75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25" defaultRowHeight="25.15" customHeight="1" outlineLevelCol="2"/>
  <cols>
    <col min="1" max="1" width="30.625" style="2" customWidth="1"/>
    <col min="2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2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3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4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5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5"/>
      <c r="B40" s="35"/>
      <c r="C40" s="36"/>
    </row>
    <row r="41" customHeight="1" spans="1:3">
      <c r="A41" s="46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3" workbookViewId="0">
      <selection activeCell="D15" sqref="D15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2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4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9" workbookViewId="0">
      <selection activeCell="B19" sqref="B19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2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4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37" workbookViewId="0">
      <selection activeCell="A55" sqref="A5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73</v>
      </c>
    </row>
    <row r="46" hidden="1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hidden="1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hidden="1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hidden="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hidden="1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172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workbookViewId="0">
      <selection activeCell="A11" sqref="A11:C11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37515.39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43290.87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14295.42</v>
      </c>
      <c r="C5" s="15" t="s">
        <v>49</v>
      </c>
    </row>
    <row r="6" customHeight="1" spans="1:3">
      <c r="A6" s="13" t="s">
        <v>52</v>
      </c>
      <c r="B6" s="14">
        <f>$B$3-$B$4</f>
        <v>-5775.48</v>
      </c>
      <c r="C6" s="15" t="s">
        <v>49</v>
      </c>
    </row>
    <row r="7" customHeight="1" spans="1:3">
      <c r="A7" s="13" t="s">
        <v>53</v>
      </c>
      <c r="B7" s="16">
        <f>$B$5/$B$3</f>
        <v>0.381054815103881</v>
      </c>
      <c r="C7" s="15" t="s">
        <v>54</v>
      </c>
    </row>
    <row r="8" customHeight="1" spans="1:3">
      <c r="A8" s="13" t="s">
        <v>55</v>
      </c>
      <c r="B8" s="16">
        <f>$B$6/$B$3</f>
        <v>-0.153949619076331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14634.39</v>
      </c>
      <c r="C13" s="16">
        <f>$B$13/$B$3</f>
        <v>0.390090306938033</v>
      </c>
    </row>
    <row r="14" customHeight="1" spans="1:3">
      <c r="A14" s="13" t="s">
        <v>61</v>
      </c>
      <c r="B14" s="14">
        <f>SUMIF(收入明细260410_1220[分类],"美团外卖",收入明细260410_1220[收入明细])</f>
        <v>13953.1</v>
      </c>
      <c r="C14" s="16">
        <f>$B$14/$B$3</f>
        <v>0.371930026583757</v>
      </c>
    </row>
    <row r="15" customHeight="1" spans="1:3">
      <c r="A15" s="13" t="s">
        <v>135</v>
      </c>
      <c r="B15" s="14">
        <f>SUMIF(收入明细260410_1220[分类],"抖音来客",收入明细260410_1220[收入明细])</f>
        <v>46.9</v>
      </c>
      <c r="C15" s="16">
        <f>$B$15/$B$3</f>
        <v>0.00125015360362774</v>
      </c>
    </row>
    <row r="16" customHeight="1" spans="1:3">
      <c r="A16" s="13" t="s">
        <v>62</v>
      </c>
      <c r="B16" s="14">
        <f>SUMIF(收入明细260410_1220[分类],"微信堂食",收入明细260410_1220[收入明细])</f>
        <v>3714.6</v>
      </c>
      <c r="C16" s="16">
        <f>$B$16/$B$3</f>
        <v>0.0990153640945756</v>
      </c>
    </row>
    <row r="17" customHeight="1" spans="1:3">
      <c r="A17" s="13" t="s">
        <v>63</v>
      </c>
      <c r="B17" s="14">
        <f>SUMIF(收入明细260410_1220[分类],"支付宝堂食",收入明细260410_1220[收入明细])</f>
        <v>1395.26</v>
      </c>
      <c r="C17" s="16">
        <f>$B$17/$B$3</f>
        <v>0.0371916698720179</v>
      </c>
    </row>
    <row r="18" customHeight="1" spans="1:3">
      <c r="A18" s="13" t="s">
        <v>64</v>
      </c>
      <c r="B18" s="14">
        <f>SUMIF(收入明细260410_1220[分类],"京东外卖",收入明细260410_1220[收入明细])</f>
        <v>3771.14</v>
      </c>
      <c r="C18" s="16">
        <f>$B$18/$B$3</f>
        <v>0.100522478907989</v>
      </c>
    </row>
    <row r="19" customHeight="1" spans="1:3">
      <c r="A19" s="20" t="s">
        <v>65</v>
      </c>
      <c r="B19" s="21">
        <f>SUM(B13:B18)</f>
        <v>37515.39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23219.97</v>
      </c>
      <c r="C24" s="16">
        <f>$B$24/$B$4</f>
        <v>0.536371063921792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0.277194706412692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0.100090388573849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2737.9</v>
      </c>
      <c r="C28" s="16">
        <f>$B$28/$B$4</f>
        <v>0.0632442822239424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0.0230995588677243</v>
      </c>
    </row>
    <row r="30" customHeight="1" spans="1:3">
      <c r="A30" s="29" t="s">
        <v>65</v>
      </c>
      <c r="B30" s="30">
        <f>SUM(B24:B29)</f>
        <v>43290.87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3445.6</v>
      </c>
      <c r="B34" s="32" t="s">
        <v>62</v>
      </c>
      <c r="C34" s="33" t="s">
        <v>136</v>
      </c>
    </row>
    <row r="35" customHeight="1" spans="1:3">
      <c r="A35" s="34">
        <v>269</v>
      </c>
      <c r="B35" s="32" t="s">
        <v>62</v>
      </c>
      <c r="C35" s="33" t="s">
        <v>137</v>
      </c>
    </row>
    <row r="36" customHeight="1" spans="1:3">
      <c r="A36" s="34">
        <v>1395.26</v>
      </c>
      <c r="B36" s="32" t="s">
        <v>63</v>
      </c>
      <c r="C36" s="33"/>
    </row>
    <row r="37" customHeight="1" spans="1:3">
      <c r="A37" s="34">
        <v>3771.14</v>
      </c>
      <c r="B37" s="32" t="s">
        <v>64</v>
      </c>
      <c r="C37" s="33"/>
    </row>
    <row r="38" customHeight="1" spans="1:3">
      <c r="A38" s="34">
        <v>14634.39</v>
      </c>
      <c r="B38" s="32" t="s">
        <v>60</v>
      </c>
      <c r="C38" s="33"/>
    </row>
    <row r="39" customHeight="1" spans="1:3">
      <c r="A39" s="34">
        <v>13953.1</v>
      </c>
      <c r="B39" s="32" t="s">
        <v>61</v>
      </c>
      <c r="C39" s="33"/>
    </row>
    <row r="40" customHeight="1" spans="1:3">
      <c r="A40" s="1">
        <v>46.9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2737.9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  <row r="54" customHeight="1" spans="1:3">
      <c r="A54" s="1">
        <v>294.03</v>
      </c>
      <c r="B54" s="2" t="s">
        <v>25</v>
      </c>
      <c r="C54" s="2" t="s">
        <v>168</v>
      </c>
    </row>
    <row r="55" customHeight="1" spans="1:3">
      <c r="A55" s="1">
        <v>400</v>
      </c>
      <c r="B55" s="2" t="s">
        <v>25</v>
      </c>
      <c r="C55" s="2" t="s">
        <v>182</v>
      </c>
    </row>
    <row r="56" customHeight="1" spans="1:3">
      <c r="A56" s="1">
        <v>2382</v>
      </c>
      <c r="B56" s="2" t="s">
        <v>25</v>
      </c>
      <c r="C56" s="2" t="s">
        <v>172</v>
      </c>
    </row>
    <row r="57" customHeight="1" spans="1:3">
      <c r="A57" s="1">
        <v>500</v>
      </c>
      <c r="B57" s="2" t="s">
        <v>14</v>
      </c>
      <c r="C57" s="2" t="s">
        <v>200</v>
      </c>
    </row>
    <row r="58" customHeight="1" spans="1:3">
      <c r="A58" s="1">
        <v>500</v>
      </c>
      <c r="B58" s="2" t="s">
        <v>14</v>
      </c>
      <c r="C58" s="2" t="s">
        <v>163</v>
      </c>
    </row>
    <row r="59" customHeight="1" spans="1:3">
      <c r="A59" s="1">
        <v>5610</v>
      </c>
      <c r="B59" s="2" t="s">
        <v>25</v>
      </c>
      <c r="C59" s="2" t="s">
        <v>172</v>
      </c>
    </row>
    <row r="60" customHeight="1" spans="1:3">
      <c r="A60" s="1">
        <v>1304</v>
      </c>
      <c r="B60" s="2" t="s">
        <v>25</v>
      </c>
      <c r="C60" s="2" t="s">
        <v>168</v>
      </c>
    </row>
    <row r="61" customHeight="1" spans="1:3">
      <c r="A61" s="1">
        <v>39.9</v>
      </c>
      <c r="B61" s="2" t="s">
        <v>25</v>
      </c>
      <c r="C61" s="2" t="s">
        <v>174</v>
      </c>
    </row>
    <row r="62" customHeight="1" spans="1:3">
      <c r="A62" s="1">
        <v>592.52</v>
      </c>
      <c r="B62" s="2" t="s">
        <v>25</v>
      </c>
      <c r="C62" s="2" t="s">
        <v>112</v>
      </c>
    </row>
    <row r="63" customHeight="1" spans="1:3">
      <c r="A63" s="1">
        <v>110.88</v>
      </c>
      <c r="B63" s="2" t="s">
        <v>25</v>
      </c>
      <c r="C63" s="2" t="s">
        <v>201</v>
      </c>
    </row>
    <row r="64" customHeight="1" spans="1:3">
      <c r="A64" s="1">
        <v>163.4</v>
      </c>
      <c r="B64" s="2" t="s">
        <v>25</v>
      </c>
      <c r="C64" s="2" t="s">
        <v>202</v>
      </c>
    </row>
    <row r="65" customHeight="1" spans="1:3">
      <c r="A65" s="1">
        <v>59</v>
      </c>
      <c r="B65" s="2" t="s">
        <v>25</v>
      </c>
      <c r="C65" s="2" t="s">
        <v>203</v>
      </c>
    </row>
    <row r="66" customHeight="1" spans="1:3">
      <c r="A66" s="1">
        <v>2500</v>
      </c>
      <c r="B66" s="2" t="s">
        <v>25</v>
      </c>
      <c r="C66" s="2" t="s">
        <v>204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6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zoomScale="80" zoomScaleNormal="80" workbookViewId="0">
      <selection activeCell="C59" sqref="C5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34107.25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32522.33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17369.38</v>
      </c>
      <c r="C5" s="15" t="s">
        <v>49</v>
      </c>
    </row>
    <row r="6" customHeight="1" spans="1:3">
      <c r="A6" s="13" t="s">
        <v>52</v>
      </c>
      <c r="B6" s="14">
        <f>$B$3-$B$4</f>
        <v>1584.92</v>
      </c>
      <c r="C6" s="15" t="s">
        <v>49</v>
      </c>
    </row>
    <row r="7" customHeight="1" spans="1:3">
      <c r="A7" s="13" t="s">
        <v>53</v>
      </c>
      <c r="B7" s="16">
        <f>$B$5/$B$3</f>
        <v>0.509257709138087</v>
      </c>
      <c r="C7" s="15" t="s">
        <v>54</v>
      </c>
    </row>
    <row r="8" customHeight="1" spans="1:3">
      <c r="A8" s="13" t="s">
        <v>55</v>
      </c>
      <c r="B8" s="16">
        <f>$B$6/$B$3</f>
        <v>0.0464687126637299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13553</v>
      </c>
      <c r="C13" s="16">
        <f>$B$13/$B$3</f>
        <v>0.397364196761686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13435.44</v>
      </c>
      <c r="C14" s="16">
        <f>$B$14/$B$3</f>
        <v>0.393917422248935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80.35</v>
      </c>
      <c r="C15" s="16">
        <f>$B$15/$B$3</f>
        <v>0.00235580411789282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3340.7</v>
      </c>
      <c r="C16" s="16">
        <f>$B$16/$B$3</f>
        <v>0.0979469174442384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1709.88</v>
      </c>
      <c r="C17" s="16">
        <f>$B$17/$B$3</f>
        <v>0.0501324498457073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1987.88</v>
      </c>
      <c r="C18" s="16">
        <f>$B$18/$B$3</f>
        <v>0.0582832095815406</v>
      </c>
    </row>
    <row r="19" customHeight="1" spans="1:3">
      <c r="A19" s="20" t="s">
        <v>65</v>
      </c>
      <c r="B19" s="21">
        <f>SUM(B13:B18)</f>
        <v>34107.25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16737.87</v>
      </c>
      <c r="C24" s="16">
        <f>$B$24/$B$4</f>
        <v>0.514657775134807</v>
      </c>
    </row>
    <row r="25" customHeight="1" spans="1:3">
      <c r="A25" s="13" t="s">
        <v>68</v>
      </c>
      <c r="B25" s="14">
        <f>SUMIF(支出明细26049_111914[分类],"工资",支出明细26049_111914[支出明细])</f>
        <v>9000</v>
      </c>
      <c r="C25" s="16">
        <f>$B$25/$B$4</f>
        <v>0.276732940106075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0.133231536608847</v>
      </c>
    </row>
    <row r="27" customHeight="1" spans="1:3">
      <c r="A27" s="13" t="s">
        <v>32</v>
      </c>
      <c r="B27" s="14">
        <f>SUMIF(支出明细26049_111914[分类],"推广",支出明细26049_111914[支出明细])</f>
        <v>19.06</v>
      </c>
      <c r="C27" s="16">
        <f>$B$27/$B$4</f>
        <v>0.000586058870935754</v>
      </c>
    </row>
    <row r="28" customHeight="1" spans="1:3">
      <c r="A28" s="13" t="s">
        <v>37</v>
      </c>
      <c r="B28" s="14">
        <f>SUMIF(支出明细26049_111914[分类],"水电",支出明细26049_111914[支出明细])</f>
        <v>2432.4</v>
      </c>
      <c r="C28" s="16">
        <f>$B$28/$B$4</f>
        <v>0.0747916892793352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32522.33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2791.82</v>
      </c>
      <c r="B34" s="32" t="s">
        <v>62</v>
      </c>
      <c r="C34" s="33" t="s">
        <v>136</v>
      </c>
    </row>
    <row r="35" customHeight="1" spans="1:3">
      <c r="A35" s="34">
        <v>548.88</v>
      </c>
      <c r="B35" s="32" t="s">
        <v>62</v>
      </c>
      <c r="C35" s="33" t="s">
        <v>137</v>
      </c>
    </row>
    <row r="36" customHeight="1" spans="1:3">
      <c r="A36" s="34">
        <v>1709.88</v>
      </c>
      <c r="B36" s="32" t="s">
        <v>63</v>
      </c>
      <c r="C36" s="33"/>
    </row>
    <row r="37" customHeight="1" spans="1:3">
      <c r="A37" s="34">
        <v>1987.88</v>
      </c>
      <c r="B37" s="32" t="s">
        <v>64</v>
      </c>
      <c r="C37" s="33"/>
    </row>
    <row r="38" customHeight="1" spans="1:3">
      <c r="A38" s="34">
        <v>13553</v>
      </c>
      <c r="B38" s="32" t="s">
        <v>60</v>
      </c>
      <c r="C38" s="33"/>
    </row>
    <row r="39" customHeight="1" spans="1:3">
      <c r="A39" s="34">
        <v>13435.44</v>
      </c>
      <c r="B39" s="32" t="s">
        <v>61</v>
      </c>
      <c r="C39" s="33"/>
    </row>
    <row r="40" customHeight="1" spans="1:3">
      <c r="A40" s="1">
        <v>80.35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9000</v>
      </c>
      <c r="B45" s="33" t="s">
        <v>68</v>
      </c>
      <c r="C45" s="33" t="s">
        <v>68</v>
      </c>
    </row>
    <row r="46" customHeight="1" spans="1:3">
      <c r="A46" s="1">
        <v>2432.4</v>
      </c>
      <c r="B46" s="33" t="s">
        <v>37</v>
      </c>
      <c r="C46" s="33" t="s">
        <v>37</v>
      </c>
    </row>
    <row r="47" customHeight="1" spans="1:3">
      <c r="A47" s="1">
        <v>1000</v>
      </c>
      <c r="B47" s="2" t="s">
        <v>25</v>
      </c>
      <c r="C47" s="2" t="s">
        <v>26</v>
      </c>
    </row>
    <row r="48" customHeight="1" spans="1:3">
      <c r="A48" s="1">
        <v>79.17</v>
      </c>
      <c r="B48" s="2" t="s">
        <v>25</v>
      </c>
      <c r="C48" s="2" t="s">
        <v>205</v>
      </c>
    </row>
    <row r="49" customHeight="1" spans="1:3">
      <c r="A49" s="1">
        <v>678</v>
      </c>
      <c r="B49" s="2" t="s">
        <v>25</v>
      </c>
      <c r="C49" s="2" t="s">
        <v>206</v>
      </c>
    </row>
    <row r="50" customHeight="1" spans="1:3">
      <c r="A50" s="1">
        <v>936</v>
      </c>
      <c r="B50" s="2" t="s">
        <v>25</v>
      </c>
      <c r="C50" s="2" t="s">
        <v>207</v>
      </c>
    </row>
    <row r="51" customHeight="1" spans="1:3">
      <c r="A51" s="1">
        <v>6244</v>
      </c>
      <c r="B51" s="2" t="s">
        <v>25</v>
      </c>
      <c r="C51" s="2" t="s">
        <v>208</v>
      </c>
    </row>
    <row r="52" customHeight="1" spans="1:3">
      <c r="A52" s="1">
        <v>1500</v>
      </c>
      <c r="B52" s="2" t="s">
        <v>25</v>
      </c>
      <c r="C52" s="2" t="s">
        <v>209</v>
      </c>
    </row>
    <row r="53" customHeight="1" spans="1:3">
      <c r="A53" s="1">
        <v>996</v>
      </c>
      <c r="B53" s="2" t="s">
        <v>25</v>
      </c>
      <c r="C53" s="2" t="s">
        <v>168</v>
      </c>
    </row>
    <row r="54" customHeight="1" spans="1:3">
      <c r="A54" s="1">
        <v>4470</v>
      </c>
      <c r="B54" s="2" t="s">
        <v>25</v>
      </c>
      <c r="C54" s="2" t="s">
        <v>208</v>
      </c>
    </row>
    <row r="55" customHeight="1" spans="1:3">
      <c r="A55" s="1">
        <v>277.25</v>
      </c>
      <c r="B55" s="2" t="s">
        <v>25</v>
      </c>
      <c r="C55" s="2" t="s">
        <v>210</v>
      </c>
    </row>
    <row r="56" customHeight="1" spans="1:3">
      <c r="A56" s="1">
        <v>19.06</v>
      </c>
      <c r="B56" s="2" t="s">
        <v>32</v>
      </c>
      <c r="C56" s="2" t="s">
        <v>211</v>
      </c>
    </row>
    <row r="57" customHeight="1" spans="1:3">
      <c r="A57" s="1">
        <v>29</v>
      </c>
      <c r="B57" s="2" t="s">
        <v>25</v>
      </c>
      <c r="C57" s="2" t="s">
        <v>212</v>
      </c>
    </row>
    <row r="58" customHeight="1" spans="1:3">
      <c r="A58" s="1">
        <v>42</v>
      </c>
      <c r="B58" s="2" t="s">
        <v>25</v>
      </c>
      <c r="C58" s="2" t="s">
        <v>213</v>
      </c>
    </row>
    <row r="59" customHeight="1" spans="1:3">
      <c r="A59" s="1">
        <v>364.35</v>
      </c>
      <c r="B59" s="2" t="s">
        <v>25</v>
      </c>
      <c r="C59" s="2" t="s">
        <v>214</v>
      </c>
    </row>
    <row r="60" customHeight="1" spans="1:3">
      <c r="A60" s="1">
        <v>56</v>
      </c>
      <c r="B60" s="2" t="s">
        <v>25</v>
      </c>
      <c r="C60" s="2" t="s">
        <v>214</v>
      </c>
    </row>
    <row r="61" customHeight="1" spans="1:3">
      <c r="A61" s="1">
        <v>66.1</v>
      </c>
      <c r="B61" s="2" t="s">
        <v>25</v>
      </c>
      <c r="C61" s="2" t="s">
        <v>214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tabSelected="1" topLeftCell="A9" workbookViewId="0">
      <selection activeCell="B42" sqref="B42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SUM(收入明细260410_12201315[收入明细])</f>
        <v>23821.19</v>
      </c>
      <c r="C3" s="9" t="s">
        <v>49</v>
      </c>
    </row>
    <row r="4" customHeight="1" spans="1:3">
      <c r="A4" s="10" t="s">
        <v>50</v>
      </c>
      <c r="B4" s="11">
        <f>SUM(支出明细26049_11191416[支出明细])</f>
        <v>34486.34</v>
      </c>
      <c r="C4" s="12" t="s">
        <v>49</v>
      </c>
    </row>
    <row r="5" customHeight="1" spans="1:3">
      <c r="A5" s="13" t="s">
        <v>51</v>
      </c>
      <c r="B5" s="14">
        <f>$B$3-SUMIF(支出明细26049_11191416[分类],"食材",支出明细26049_11191416[支出明细])</f>
        <v>4667.85000000001</v>
      </c>
      <c r="C5" s="15" t="s">
        <v>49</v>
      </c>
    </row>
    <row r="6" customHeight="1" spans="1:3">
      <c r="A6" s="13" t="s">
        <v>52</v>
      </c>
      <c r="B6" s="14">
        <f>$B$3-$B$4</f>
        <v>-10665.15</v>
      </c>
      <c r="C6" s="15" t="s">
        <v>49</v>
      </c>
    </row>
    <row r="7" customHeight="1" spans="1:3">
      <c r="A7" s="13" t="s">
        <v>53</v>
      </c>
      <c r="B7" s="16">
        <f>$B$5/$B$3</f>
        <v>0.195953686612634</v>
      </c>
      <c r="C7" s="15" t="s">
        <v>54</v>
      </c>
    </row>
    <row r="8" customHeight="1" spans="1:3">
      <c r="A8" s="13" t="s">
        <v>55</v>
      </c>
      <c r="B8" s="16">
        <f>$B$6/$B$3</f>
        <v>-0.447716927659785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SUMIF(收入明细260410_12201315[分类],"淘宝外卖",收入明细260410_12201315[收入明细])</f>
        <v>10861.96</v>
      </c>
      <c r="C13" s="16">
        <f>$B$13/$B$3</f>
        <v>0.455978899458843</v>
      </c>
    </row>
    <row r="14" customHeight="1" spans="1:3">
      <c r="A14" s="13" t="s">
        <v>61</v>
      </c>
      <c r="B14" s="14">
        <f>SUMIF(收入明细260410_12201315[分类],"美团外卖",收入明细260410_12201315[收入明细])</f>
        <v>8727.69</v>
      </c>
      <c r="C14" s="16">
        <f>$B$14/$B$3</f>
        <v>0.366383459432547</v>
      </c>
    </row>
    <row r="15" customHeight="1" spans="1:3">
      <c r="A15" s="13" t="s">
        <v>135</v>
      </c>
      <c r="B15" s="14">
        <f>SUMIF(收入明细260410_12201315[分类],"抖音来客",收入明细260410_12201315[收入明细])</f>
        <v>0</v>
      </c>
      <c r="C15" s="16">
        <f>$B$15/$B$3</f>
        <v>0</v>
      </c>
    </row>
    <row r="16" customHeight="1" spans="1:3">
      <c r="A16" s="13" t="s">
        <v>62</v>
      </c>
      <c r="B16" s="14">
        <f>SUMIF(收入明细260410_12201315[分类],"微信堂食",收入明细260410_12201315[收入明细])</f>
        <v>1937.45</v>
      </c>
      <c r="C16" s="16">
        <f>$B$16/$B$3</f>
        <v>0.0813330484329288</v>
      </c>
    </row>
    <row r="17" customHeight="1" spans="1:3">
      <c r="A17" s="13" t="s">
        <v>63</v>
      </c>
      <c r="B17" s="14">
        <f>SUMIF(收入明细260410_12201315[分类],"支付宝堂食",收入明细260410_12201315[收入明细])</f>
        <v>1505.8</v>
      </c>
      <c r="C17" s="16">
        <f>$B$17/$B$3</f>
        <v>0.0632126270769848</v>
      </c>
    </row>
    <row r="18" customHeight="1" spans="1:3">
      <c r="A18" s="13" t="s">
        <v>64</v>
      </c>
      <c r="B18" s="14">
        <f>SUMIF(收入明细260410_12201315[分类],"京东外卖",收入明细260410_12201315[收入明细])</f>
        <v>788.29</v>
      </c>
      <c r="C18" s="16">
        <f>$B$18/$B$3</f>
        <v>0.0330919655986959</v>
      </c>
    </row>
    <row r="19" customHeight="1" spans="1:3">
      <c r="A19" s="20" t="s">
        <v>65</v>
      </c>
      <c r="B19" s="21">
        <f>SUM(B13:B18)</f>
        <v>23821.19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SUMIF(支出明细26049_11191416[分类],"食材",支出明细26049_11191416[支出明细])</f>
        <v>19153.34</v>
      </c>
      <c r="C24" s="16">
        <f>$B$24/$B$4</f>
        <v>0.555389177280048</v>
      </c>
    </row>
    <row r="25" customHeight="1" spans="1:3">
      <c r="A25" s="13" t="s">
        <v>68</v>
      </c>
      <c r="B25" s="14">
        <f>SUMIF(支出明细26049_11191416[分类],"工资",支出明细26049_11191416[支出明细])</f>
        <v>8500</v>
      </c>
      <c r="C25" s="16">
        <f>$B$25/$B$4</f>
        <v>0.246474401168695</v>
      </c>
    </row>
    <row r="26" customHeight="1" spans="1:3">
      <c r="A26" s="13" t="s">
        <v>6</v>
      </c>
      <c r="B26" s="14">
        <f>SUMIF(支出明细26049_11191416[分类],"房租",支出明细26049_11191416[支出明细])</f>
        <v>4333</v>
      </c>
      <c r="C26" s="16">
        <f>$B$26/$B$4</f>
        <v>0.125643950619289</v>
      </c>
    </row>
    <row r="27" customHeight="1" spans="1:3">
      <c r="A27" s="13" t="s">
        <v>32</v>
      </c>
      <c r="B27" s="14">
        <f>SUMIF(支出明细26049_11191416[分类],"推广",支出明细26049_11191416[支出明细])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SUMIF(支出明细26049_11191416[分类],"水电",支出明细26049_11191416[支出明细])</f>
        <v>2500</v>
      </c>
      <c r="C28" s="16">
        <f>$B$28/$B$4</f>
        <v>0.072492470931969</v>
      </c>
    </row>
    <row r="29" customHeight="1" spans="1:3">
      <c r="A29" s="13" t="s">
        <v>14</v>
      </c>
      <c r="B29" s="14">
        <f>SUMIF(支出明细26049_11191416[分类],"其他",支出明细26049_11191416[支出明细])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34486.34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1790.5</v>
      </c>
      <c r="B34" s="32" t="s">
        <v>62</v>
      </c>
      <c r="C34" s="33" t="s">
        <v>136</v>
      </c>
    </row>
    <row r="35" customHeight="1" spans="1:3">
      <c r="A35" s="34">
        <v>146.95</v>
      </c>
      <c r="B35" s="32" t="s">
        <v>62</v>
      </c>
      <c r="C35" s="33" t="s">
        <v>137</v>
      </c>
    </row>
    <row r="36" customHeight="1" spans="1:3">
      <c r="A36" s="34">
        <v>1505.8</v>
      </c>
      <c r="B36" s="32" t="s">
        <v>63</v>
      </c>
      <c r="C36" s="33"/>
    </row>
    <row r="37" customHeight="1" spans="1:3">
      <c r="A37" s="34">
        <v>788.29</v>
      </c>
      <c r="B37" s="32" t="s">
        <v>64</v>
      </c>
      <c r="C37" s="33"/>
    </row>
    <row r="38" customHeight="1" spans="1:3">
      <c r="A38" s="34">
        <v>10861.96</v>
      </c>
      <c r="B38" s="32" t="s">
        <v>60</v>
      </c>
      <c r="C38" s="33"/>
    </row>
    <row r="39" customHeight="1" spans="1:3">
      <c r="A39" s="34">
        <v>8727.69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2500</v>
      </c>
      <c r="B46" s="33" t="s">
        <v>37</v>
      </c>
      <c r="C46" s="33" t="s">
        <v>160</v>
      </c>
    </row>
    <row r="47" customHeight="1" spans="1:3">
      <c r="A47" s="1">
        <v>589</v>
      </c>
      <c r="B47" s="2" t="s">
        <v>25</v>
      </c>
      <c r="C47" s="2" t="s">
        <v>112</v>
      </c>
    </row>
    <row r="48" customHeight="1" spans="1:3">
      <c r="A48" s="1">
        <v>1000</v>
      </c>
      <c r="B48" s="2" t="s">
        <v>25</v>
      </c>
      <c r="C48" s="2" t="s">
        <v>215</v>
      </c>
    </row>
    <row r="49" customHeight="1" spans="1:3">
      <c r="A49" s="1">
        <v>81.7</v>
      </c>
      <c r="B49" s="2" t="s">
        <v>25</v>
      </c>
      <c r="C49" s="2" t="s">
        <v>216</v>
      </c>
    </row>
    <row r="50" customHeight="1" spans="1:3">
      <c r="A50" s="1">
        <v>263.64</v>
      </c>
      <c r="B50" s="2" t="s">
        <v>25</v>
      </c>
      <c r="C50" s="2" t="s">
        <v>217</v>
      </c>
    </row>
    <row r="51" customHeight="1" spans="1:3">
      <c r="A51" s="1">
        <v>6192</v>
      </c>
      <c r="B51" s="2" t="s">
        <v>25</v>
      </c>
      <c r="C51" s="2" t="s">
        <v>218</v>
      </c>
    </row>
    <row r="52" customHeight="1" spans="1:3">
      <c r="A52" s="1">
        <v>12.9</v>
      </c>
      <c r="B52" s="2" t="s">
        <v>25</v>
      </c>
      <c r="C52" s="2" t="s">
        <v>219</v>
      </c>
    </row>
    <row r="53" customHeight="1" spans="1:3">
      <c r="A53" s="1">
        <v>1000</v>
      </c>
      <c r="B53" s="2" t="s">
        <v>25</v>
      </c>
      <c r="C53" s="2" t="s">
        <v>26</v>
      </c>
    </row>
    <row r="54" customHeight="1" spans="1:3">
      <c r="A54" s="1">
        <v>593.8</v>
      </c>
      <c r="B54" s="2" t="s">
        <v>25</v>
      </c>
      <c r="C54" s="2" t="s">
        <v>112</v>
      </c>
    </row>
    <row r="55" customHeight="1" spans="1:3">
      <c r="A55" s="1">
        <v>81.3</v>
      </c>
      <c r="B55" s="2" t="s">
        <v>25</v>
      </c>
      <c r="C55" s="2" t="s">
        <v>202</v>
      </c>
    </row>
    <row r="56" customHeight="1" spans="1:3">
      <c r="A56" s="1">
        <v>771</v>
      </c>
      <c r="B56" s="2" t="s">
        <v>25</v>
      </c>
      <c r="C56" s="2" t="s">
        <v>168</v>
      </c>
    </row>
    <row r="57" customHeight="1" spans="1:3">
      <c r="A57" s="1">
        <v>885</v>
      </c>
      <c r="B57" s="2" t="s">
        <v>25</v>
      </c>
      <c r="C57" s="2" t="s">
        <v>207</v>
      </c>
    </row>
    <row r="58" customHeight="1" spans="1:3">
      <c r="A58" s="1">
        <v>805</v>
      </c>
      <c r="B58" s="2" t="s">
        <v>25</v>
      </c>
      <c r="C58" s="2" t="s">
        <v>168</v>
      </c>
    </row>
    <row r="59" customHeight="1" spans="1:3">
      <c r="A59" s="1">
        <v>300</v>
      </c>
      <c r="B59" s="2" t="s">
        <v>25</v>
      </c>
      <c r="C59" s="2" t="s">
        <v>220</v>
      </c>
    </row>
    <row r="60" customHeight="1" spans="1:3">
      <c r="A60" s="1">
        <v>5578</v>
      </c>
      <c r="B60" s="2" t="s">
        <v>25</v>
      </c>
      <c r="C60" s="2" t="s">
        <v>172</v>
      </c>
    </row>
    <row r="61" customHeight="1" spans="1:3">
      <c r="A61" s="1">
        <v>1000</v>
      </c>
      <c r="B61" s="2" t="s">
        <v>25</v>
      </c>
      <c r="C61" s="2" t="s">
        <v>26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30" workbookViewId="0">
      <selection activeCell="A49" sqref="A4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SUM(收入明细260410_1220131517[收入明细])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SUM(支出明细26049_1119141618[支出明细])</f>
        <v>15833</v>
      </c>
      <c r="C4" s="12" t="s">
        <v>49</v>
      </c>
    </row>
    <row r="5" customHeight="1" spans="1:3">
      <c r="A5" s="13" t="s">
        <v>51</v>
      </c>
      <c r="B5" s="14">
        <f>$B$3-SUMIF(支出明细26049_1119141618[分类],"食材",支出明细26049_1119141618[支出明细])</f>
        <v>0</v>
      </c>
      <c r="C5" s="15" t="s">
        <v>49</v>
      </c>
    </row>
    <row r="6" customHeight="1" spans="1:3">
      <c r="A6" s="13" t="s">
        <v>52</v>
      </c>
      <c r="B6" s="14">
        <f>$B$3-$B$4</f>
        <v>-15833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SUMIF(收入明细260410_1220131517[分类],"淘宝外卖",收入明细260410_1220131517[收入明细])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SUMIF(收入明细260410_1220131517[分类],"美团外卖",收入明细260410_1220131517[收入明细])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SUMIF(收入明细260410_1220131517[分类],"抖音来客",收入明细260410_1220131517[收入明细])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SUMIF(收入明细260410_1220131517[分类],"微信堂食",收入明细260410_1220131517[收入明细])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SUMIF(收入明细260410_1220131517[分类],"支付宝堂食",收入明细260410_1220131517[收入明细])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SUMIF(收入明细260410_1220131517[分类],"京东外卖",收入明细260410_1220131517[收入明细])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SUMIF(支出明细26049_1119141618[分类],"食材",支出明细26049_1119141618[支出明细])</f>
        <v>0</v>
      </c>
      <c r="C24" s="16">
        <f>$B$24/$B$4</f>
        <v>0</v>
      </c>
    </row>
    <row r="25" customHeight="1" spans="1:3">
      <c r="A25" s="13" t="s">
        <v>68</v>
      </c>
      <c r="B25" s="14">
        <f>SUMIF(支出明细26049_1119141618[分类],"工资",支出明细26049_1119141618[支出明细])</f>
        <v>8500</v>
      </c>
      <c r="C25" s="16">
        <f>$B$25/$B$4</f>
        <v>0.536853407440157</v>
      </c>
    </row>
    <row r="26" customHeight="1" spans="1:3">
      <c r="A26" s="13" t="s">
        <v>6</v>
      </c>
      <c r="B26" s="14">
        <f>SUMIF(支出明细26049_1119141618[分类],"房租",支出明细26049_1119141618[支出明细])</f>
        <v>4333</v>
      </c>
      <c r="C26" s="16">
        <f>$B$26/$B$4</f>
        <v>0.27366891934567</v>
      </c>
    </row>
    <row r="27" customHeight="1" spans="1:3">
      <c r="A27" s="13" t="s">
        <v>32</v>
      </c>
      <c r="B27" s="14">
        <f>SUMIF(支出明细26049_1119141618[分类],"推广",支出明细26049_1119141618[支出明细])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SUMIF(支出明细26049_1119141618[分类],"水电",支出明细26049_1119141618[支出明细])</f>
        <v>3000</v>
      </c>
      <c r="C28" s="16">
        <f>$B$28/$B$4</f>
        <v>0.189477673214173</v>
      </c>
    </row>
    <row r="29" customHeight="1" spans="1:3">
      <c r="A29" s="13" t="s">
        <v>14</v>
      </c>
      <c r="B29" s="14">
        <f>SUMIF(支出明细26049_1119141618[分类],"其他",支出明细26049_1119141618[支出明细])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15833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  <vt:lpstr>2026-09流水</vt:lpstr>
      <vt:lpstr>2026-10流水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2026-03-08T19:28:00Z</dcterms:created>
  <dcterms:modified xsi:type="dcterms:W3CDTF">2026-09-20T11:59:17Z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