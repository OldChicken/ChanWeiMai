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60" tabRatio="723" firstSheet="1" activeTab="5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<sst xmlns="http://schemas.openxmlformats.org/spreadsheetml/2006/main" count="811" uniqueCount="200">
  <si>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</si>
  <si>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</si>
  <si>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</si>
  <si>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</si>
  <si>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</si>
  <si>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</si>
  <si>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</si>
  <si>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</si>
  <si>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</si>
  <si>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</si>
  <si>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</si>
  <si>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</si>
  <si>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</si>
  <si>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</si>
  <si>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</si>
  <si>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</si>
  <si>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</si>
  <si>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</si>
  <si>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</si>
  <si>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</si>
  <si>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</si>
  <si>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</si>
  <si>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</si>
  <si>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</si>
  <si>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</si>
  <si>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</si>
  <si>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</si>
  <si>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</si>
  <si>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</si>
  <si>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</si>
  <si>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</si>
  <si>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</si>
  <si>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</si>
  <si>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</si>
  <si>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</si>
  <si>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</si>
  <si>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</si>
  <si>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</si>
  <si>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</si>
  <si>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</si>
  <si>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</si>
  <si>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</si>
  <si>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</si>
  <si>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</si>
  <si>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</si>
  <si>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</si>
  <si>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</si>
  <si>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</si>
  <si>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</si>
  <si>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</si>
  <si>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</si>
  <si>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</si>
  <si>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</si>
  <si>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</si>
  <si>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</si>
  <si>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</si>
  <si>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</si>
  <si>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</si>
  <si>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</si>
  <si>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</si>
  <si>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</si>
  <si>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</si>
  <si>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</si>
  <si>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</si>
  <si>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</si>
  <si>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</si>
  <si>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</si>
  <si>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</si>
  <si>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</si>
  <si>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</si>
  <si>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</si>
  <si>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</si>
  <si>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</si>
  <si>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</si>
  <si>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</si>
  <si>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</si>
  <si>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</si>
  <si>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</si>
  <si>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</si>
  <si>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</si>
  <si>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</si>
  <si>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</si>
  <si>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</si>
  <si>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</si>
  <si>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</si>
  <si>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</si>
  <si>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</si>
  <si>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</si>
  <si>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</si>
  <si>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</si>
  <si>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</si>
  <si>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</si>
  <si>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</si>
  <si>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</si>
  <si>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</si>
  <si>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</si>
  <si>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</si>
  <si>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</si>
  <si>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</si>
  <si>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</si>
  <si>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</si>
  <si>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</si>
  <si>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</si>
  <si>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</si>
  <si>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</si>
  <si>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</si>
  <si>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</si>
  <si>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</si>
  <si>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</si>
  <si>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</si>
  <si>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</si>
  <si>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</si>
  <si>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</si>
  <si>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</si>
  <si>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</si>
  <si>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</si>
  <si>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</si>
  <si>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</si>
  <si>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</si>
  <si>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</si>
  <si>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</si>
  <si>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</si>
  <si>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</si>
  <si>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</si>
  <si>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</si>
  <si>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</si>
  <si>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</si>
  <si>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</si>
  <si>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</si>
  <si>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</si>
  <si>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</si>
  <si>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</si>
  <si>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</si>
  <si>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</si>
  <si>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</si>
  <si>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</si>
  <si>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</si>
  <si>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</si>
  <si>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</si>
  <si>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</si>
  <si>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</si>
  <si>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</si>
  <si>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</si>
  <si>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</si>
  <si>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</si>
  <si>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</si>
  <si>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</si>
  <si>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</si>
  <si>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</si>
  <si>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</si>
  <si>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</si>
  <si>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</si>
  <si>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</si>
  <si>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</si>
  <si>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</si>
  <si>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</si>
  <si>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</si>
  <si>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</si>
  <si>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</si>
  <si>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</si>
  <si>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</si>
  <si>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</si>
  <si>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</si>
  <si>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</si>
  <si>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</si>
  <si>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</si>
  <si>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</si>
  <si>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</si>
  <si>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</si>
  <si>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</si>
  <si>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</si>
  <si>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</si>
  <si>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</si>
  <si>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</si>
  <si>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</si>
  <si>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</si>
  <si>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</si>
  <si>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</si>
  <si>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</si>
  <si>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</si>
  <si>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</si>
  <si>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</si>
  <si>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</si>
  <si>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</si>
  <si>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</si>
  <si>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</si>
  <si>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</si>
  <si>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</si>
  <si>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</si>
  <si>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</si>
  <si>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</si>
  <si>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</si>
  <si>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</si>
  <si>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硕美进货运费</t>
  </si>
  <si>
    <t>调味品</t>
  </si>
  <si>
    <t>面条烧卖</t>
  </si>
  <si>
    <t>老池垫付部分</t>
  </si>
  <si>
    <t>肉片第一次进货</t>
  </si>
  <si>
    <t>潮汕牛肉丸10包</t>
  </si>
  <si>
    <t>烧麦4袋</t>
  </si>
</sst>
</file>

<file path=xl/styles.xml><?xml version="1.0" encoding="utf-8"?>
<styleSheet xmlns="http://schemas.openxmlformats.org/spreadsheetml/2006/main">
  <numFmts count="7">
    <numFmt numFmtId="176" formatCode="0.00_ ;[Red]\-0.00\ "/>
    <numFmt numFmtId="41" formatCode="_ * #,##0_ ;_ * \-#,##0_ ;_ * &quot;-&quot;_ ;_ @_ "/>
    <numFmt numFmtId="42" formatCode="_ &quot;￥&quot;* #,##0_ ;_ &quot;￥&quot;* \-#,##0_ ;_ &quot;￥&quot;* &quot;-&quot;_ ;_ @_ "/>
    <numFmt numFmtId="177" formatCode="0.00_);[Red]\(0.00\)"/>
    <numFmt numFmtId="43" formatCode="_ * #,##0.00_ ;_ * \-#,##0.00_ ;_ * &quot;-&quot;??_ ;_ @_ "/>
    <numFmt numFmtId="44" formatCode="_ &quot;￥&quot;* #,##0.00_ ;_ &quot;￥&quot;* \-#,##0.00_ ;_ &quot;￥&quot;* &quot;-&quot;??_ ;_ @_ "/>
    <numFmt numFmtId="178" formatCode="#,##0.00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7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21" fillId="33" borderId="13" applyNumberFormat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4" fillId="21" borderId="13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0" fillId="32" borderId="12" applyNumberFormat="0" applyAlignment="0" applyProtection="0">
      <alignment vertical="center"/>
    </xf>
    <xf numFmtId="0" fontId="15" fillId="21" borderId="9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4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0" fillId="17" borderId="7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</cellStyleXfs>
  <cellXfs count="82">
    <xf numFmtId="0" fontId="0" fillId="0" borderId="0" xfId="0"/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6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7" customWidth="1"/>
    <col min="2" max="2" width="30.6634615384615" style="78" customWidth="1"/>
    <col min="3" max="3" width="30.6634615384615" style="79" customWidth="1"/>
    <col min="4" max="4" width="30.6634615384615" style="78" customWidth="1"/>
    <col min="5" max="16384" width="30.663461538461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7" customWidth="1"/>
    <col min="3" max="3" width="30.6634615384615" style="48" customWidth="1"/>
    <col min="4" max="4" width="30.6634615384615" style="47" customWidth="1"/>
    <col min="5" max="16384" width="30.663461538461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abSelected="1" workbookViewId="0">
      <selection activeCell="C46" sqref="C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73</v>
      </c>
    </row>
    <row r="46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165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3"/>
  <sheetViews>
    <sheetView workbookViewId="0">
      <selection activeCell="A26" sqref="A2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29097.24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-9764.24</v>
      </c>
      <c r="C5" s="15" t="s">
        <v>49</v>
      </c>
    </row>
    <row r="6" customHeight="1" spans="1:3">
      <c r="A6" s="13" t="s">
        <v>52</v>
      </c>
      <c r="B6" s="14">
        <f>$B$3-$B$4</f>
        <v>-29097.24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SUMIF(收入明细260410_1220[分类],"美团外卖",收入明细260410_1220[收入明细])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SUMIF(收入明细260410_1220[分类],"抖音来客",收入明细260410_1220[收入明细])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SUMIF(收入明细260410_1220[分类],"微信堂食",收入明细260410_1220[收入明细])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SUMIF(收入明细260410_1220[分类],"支付宝堂食",收入明细260410_1220[收入明细])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SUMIF(收入明细260410_1220[分类],"京东外卖",收入明细260410_1220[收入明细])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9764.24</v>
      </c>
      <c r="C24" s="16">
        <f>$B$24/$B$4</f>
        <v>0.335572720986595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0.412410249219514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0.148914467489013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0.103102562304878</v>
      </c>
    </row>
    <row r="29" customHeight="1" spans="1:3">
      <c r="A29" s="13" t="s">
        <v>14</v>
      </c>
      <c r="B29" s="14">
        <f>SUMIF(支出明细26049_1119[分类],"其他",支出明细26049_1119[支出明细])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29097.24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2026-03-05T19:28:00Z</dcterms:created>
  <dcterms:modified xsi:type="dcterms:W3CDTF">2026-07-16T14:30:05Z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