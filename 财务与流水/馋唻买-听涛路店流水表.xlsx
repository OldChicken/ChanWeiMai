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20" activeTab="2"/>
  </bookViews>
  <sheets>
    <sheet name="开店成本清单" sheetId="1" r:id="rId1"/>
    <sheet name="2026-02流水 " sheetId="3" r:id="rId2"/>
    <sheet name="2026-03流水" sheetId="2" r:id="rId3"/>
  </sheets>
  <calcPr calcId="144525"/>
</workbook>
</file>

<file path=xl/sharedStrings.xml><?xml version="1.0" encoding="utf-8"?>
<sst xmlns="http://schemas.openxmlformats.org/spreadsheetml/2006/main" count="238" uniqueCount="97">
  <si>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</si>
  <si>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</si>
  <si>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</si>
  <si>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</si>
  <si>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</si>
  <si>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</si>
  <si>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</si>
  <si>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</si>
  <si>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</si>
  <si>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</si>
  <si>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</si>
  <si>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</si>
  <si>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</si>
  <si>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</si>
  <si>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</si>
  <si>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</si>
  <si>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</si>
  <si>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</si>
  <si>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</si>
  <si>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</si>
  <si>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</si>
  <si>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</si>
  <si>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</si>
  <si>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</si>
  <si>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</si>
  <si>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</si>
  <si>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</si>
  <si>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</si>
  <si>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</si>
  <si>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</si>
  <si>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</si>
  <si>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</si>
  <si>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</si>
  <si>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</si>
  <si>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</si>
  <si>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</si>
  <si>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</si>
  <si>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</si>
  <si>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</si>
  <si>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</si>
  <si>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</si>
  <si>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</si>
  <si>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</si>
  <si>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</si>
  <si>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</si>
  <si>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</si>
  <si>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</si>
  <si>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</si>
  <si>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</si>
  <si>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</si>
  <si>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</si>
  <si>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</si>
  <si>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</si>
  <si>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</si>
  <si>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</si>
  <si>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</si>
  <si>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</si>
  <si>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员工工资，暂未发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</si>
  <si>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</si>
  <si>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</si>
  <si>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</si>
  <si>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</si>
  <si>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</si>
  <si>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</si>
  <si>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</si>
  <si>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</si>
  <si>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</si>
  <si>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</si>
  <si>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</si>
  <si>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</si>
  <si>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</si>
  <si>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</si>
  <si>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</si>
  <si>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</si>
  <si>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</si>
  <si>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</si>
  <si>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</si>
  <si>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</si>
  <si>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</si>
  <si>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</si>
  <si>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</si>
  <si>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</si>
  <si>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</si>
  <si>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</si>
  <si>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</si>
  <si>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</si>
  <si>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</si>
  <si>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老李买走500斤肉片</t>
  </si>
  <si>
    <t>淘宝推广</t>
  </si>
  <si>
    <t>火鸡面10箱</t>
  </si>
  <si>
    <t>1280打包盒</t>
  </si>
  <si>
    <t>电话费300</t>
  </si>
  <si>
    <t>火鸡面临时补货</t>
  </si>
  <si>
    <t>750圆碗600个</t>
  </si>
  <si>
    <t>小米空调</t>
  </si>
  <si>
    <t>1000圆碗800个/308元</t>
  </si>
  <si>
    <t>硕美进货，肉片500斤4000，小笼包100斤1100，肉燕100斤1800，鸡翅100个300，鸭爪100个130，运费230</t>
  </si>
</sst>
</file>

<file path=xl/styles.xml><?xml version="1.0" encoding="utf-8"?>
<styleSheet xmlns="http://schemas.openxmlformats.org/spreadsheetml/2006/main">
  <numFmts count="7">
    <numFmt numFmtId="41" formatCode="_ * #,##0_ ;_ * \-#,##0_ ;_ * &quot;-&quot;_ ;_ @_ "/>
    <numFmt numFmtId="176" formatCode="0.00_);[Red]\(0.00\)"/>
    <numFmt numFmtId="177" formatCode="#,##0.00_ "/>
    <numFmt numFmtId="178" formatCode="0.00_ ;[Red]\-0.00\ "/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3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theme="1"/>
      <name val="宋体"/>
      <charset val="134"/>
    </font>
    <font>
      <sz val="11"/>
      <color rgb="FFFF00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9C65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0" fontId="9" fillId="32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21" fillId="21" borderId="7" applyNumberFormat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9" fillId="12" borderId="7" applyNumberFormat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16" fillId="13" borderId="5" applyNumberFormat="0" applyAlignment="0" applyProtection="0">
      <alignment vertical="center"/>
    </xf>
    <xf numFmtId="0" fontId="14" fillId="12" borderId="3" applyNumberFormat="0" applyAlignment="0" applyProtection="0">
      <alignment vertical="center"/>
    </xf>
    <xf numFmtId="0" fontId="13" fillId="0" borderId="1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6" fillId="0" borderId="1" applyNumberFormat="0" applyFill="0" applyAlignment="0" applyProtection="0">
      <alignment vertical="center"/>
    </xf>
    <xf numFmtId="0" fontId="5" fillId="2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3" fontId="0" fillId="0" borderId="0" xfId="0" applyNumberFormat="1" applyAlignment="1">
      <alignment horizontal="left"/>
    </xf>
    <xf numFmtId="176" fontId="0" fillId="0" borderId="0" xfId="0" applyNumberFormat="1"/>
    <xf numFmtId="178" fontId="0" fillId="0" borderId="0" xfId="0" applyNumberFormat="1"/>
    <xf numFmtId="176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8" fontId="0" fillId="0" borderId="0" xfId="0" applyNumberFormat="1" applyAlignment="1">
      <alignment horizontal="left"/>
    </xf>
    <xf numFmtId="4" fontId="2" fillId="0" borderId="0" xfId="0" applyNumberFormat="1" applyFont="1" applyAlignment="1">
      <alignment horizontal="left"/>
    </xf>
    <xf numFmtId="178" fontId="2" fillId="0" borderId="0" xfId="0" applyNumberFormat="1" applyFont="1" applyAlignment="1">
      <alignment horizontal="left"/>
    </xf>
    <xf numFmtId="178" fontId="3" fillId="0" borderId="0" xfId="0" applyNumberFormat="1" applyFont="1" applyAlignment="1">
      <alignment horizontal="left"/>
    </xf>
    <xf numFmtId="4" fontId="3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7" fontId="0" fillId="0" borderId="0" xfId="0" applyNumberFormat="1" applyAlignment="1">
      <alignment horizontal="left"/>
    </xf>
    <xf numFmtId="177" fontId="2" fillId="0" borderId="0" xfId="0" applyNumberFormat="1" applyFon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6" fontId="2" fillId="0" borderId="0" xfId="0" applyNumberFormat="1" applyFont="1" applyAlignment="1">
      <alignment horizontal="left"/>
    </xf>
    <xf numFmtId="4" fontId="0" fillId="0" borderId="0" xfId="0" applyNumberFormat="1"/>
    <xf numFmtId="0" fontId="2" fillId="0" borderId="0" xfId="0" applyFont="1"/>
    <xf numFmtId="4" fontId="2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#,##0.00_ 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0.00_ ;[Red]\-0.00\ 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9:C34" totalsRowShown="0">
  <autoFilter ref="A29:C34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6:C25" totalsRowShown="0">
  <autoFilter ref="A6:C25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54:C59" totalsRowShown="0">
  <autoFilter ref="A54:C59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6:C51" totalsRowShown="0">
  <autoFilter ref="A6:C51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topLeftCell="A15" workbookViewId="0">
      <selection activeCell="C38" sqref="C38"/>
    </sheetView>
  </sheetViews>
  <sheetFormatPr defaultColWidth="9" defaultRowHeight="16.8" outlineLevelCol="2"/>
  <cols>
    <col min="1" max="1" width="23.75" style="2" customWidth="1"/>
    <col min="2" max="2" width="20.375" customWidth="1"/>
    <col min="3" max="3" width="37.25" style="18" customWidth="1"/>
  </cols>
  <sheetData>
    <row r="1" ht="15" customHeight="1" spans="1:3">
      <c r="A1" s="2" t="s">
        <v>0</v>
      </c>
      <c r="C1" s="15">
        <v>100000</v>
      </c>
    </row>
    <row r="2" ht="15" customHeight="1" spans="1:3">
      <c r="A2" s="2" t="s">
        <v>1</v>
      </c>
      <c r="C2" s="16">
        <f>SUM(成本明细[金额(元)])</f>
        <v>99761.38</v>
      </c>
    </row>
    <row r="3" ht="15" customHeight="1" spans="1:3">
      <c r="A3" s="2" t="s">
        <v>2</v>
      </c>
      <c r="C3" s="16">
        <f>C1-C2</f>
        <v>238.619999999981</v>
      </c>
    </row>
    <row r="4" ht="15" customHeight="1"/>
    <row r="5" ht="15" customHeight="1" spans="1:3">
      <c r="A5" s="2" t="s">
        <v>3</v>
      </c>
      <c r="B5" s="12" t="s">
        <v>4</v>
      </c>
      <c r="C5" s="6" t="s">
        <v>5</v>
      </c>
    </row>
    <row r="6" ht="15" customHeight="1" spans="1:3">
      <c r="A6" s="5">
        <v>10000</v>
      </c>
      <c r="B6" t="s">
        <v>6</v>
      </c>
      <c r="C6" s="6" t="s">
        <v>7</v>
      </c>
    </row>
    <row r="7" ht="15" customHeight="1" spans="1:3">
      <c r="A7" s="5">
        <v>26000</v>
      </c>
      <c r="B7" t="s">
        <v>6</v>
      </c>
      <c r="C7" s="6" t="s">
        <v>8</v>
      </c>
    </row>
    <row r="8" ht="15" customHeight="1" spans="1:3">
      <c r="A8" s="5">
        <v>6000</v>
      </c>
      <c r="B8" t="s">
        <v>9</v>
      </c>
      <c r="C8" s="6" t="s">
        <v>10</v>
      </c>
    </row>
    <row r="9" ht="15" customHeight="1" spans="1:3">
      <c r="A9" s="5">
        <v>3000</v>
      </c>
      <c r="B9" t="s">
        <v>9</v>
      </c>
      <c r="C9" s="6" t="s">
        <v>11</v>
      </c>
    </row>
    <row r="10" ht="15" customHeight="1" spans="1:3">
      <c r="A10" s="5">
        <v>2100</v>
      </c>
      <c r="B10" t="s">
        <v>9</v>
      </c>
      <c r="C10" s="6" t="s">
        <v>12</v>
      </c>
    </row>
    <row r="11" ht="15" customHeight="1" spans="1:3">
      <c r="A11" s="5">
        <v>340</v>
      </c>
      <c r="B11" t="s">
        <v>9</v>
      </c>
      <c r="C11" s="6" t="s">
        <v>13</v>
      </c>
    </row>
    <row r="12" ht="15" customHeight="1" spans="1:3">
      <c r="A12" s="5">
        <v>200</v>
      </c>
      <c r="B12" t="s">
        <v>14</v>
      </c>
      <c r="C12" s="6" t="s">
        <v>15</v>
      </c>
    </row>
    <row r="13" ht="15" customHeight="1" spans="1:3">
      <c r="A13" s="5">
        <v>11000</v>
      </c>
      <c r="B13" t="s">
        <v>16</v>
      </c>
      <c r="C13" s="6" t="s">
        <v>17</v>
      </c>
    </row>
    <row r="14" ht="15" customHeight="1" spans="1:3">
      <c r="A14" s="5">
        <v>5000</v>
      </c>
      <c r="B14" t="s">
        <v>9</v>
      </c>
      <c r="C14" s="6" t="s">
        <v>18</v>
      </c>
    </row>
    <row r="15" ht="15" customHeight="1" spans="1:3">
      <c r="A15" s="5">
        <v>755</v>
      </c>
      <c r="B15" t="s">
        <v>16</v>
      </c>
      <c r="C15" s="6" t="s">
        <v>19</v>
      </c>
    </row>
    <row r="16" ht="15" customHeight="1" spans="1:3">
      <c r="A16" s="5">
        <v>190</v>
      </c>
      <c r="B16" t="s">
        <v>9</v>
      </c>
      <c r="C16" s="6" t="s">
        <v>20</v>
      </c>
    </row>
    <row r="17" ht="15" customHeight="1" spans="1:3">
      <c r="A17" s="5">
        <v>405.9</v>
      </c>
      <c r="B17" t="s">
        <v>16</v>
      </c>
      <c r="C17" s="6" t="s">
        <v>21</v>
      </c>
    </row>
    <row r="18" ht="15" customHeight="1" spans="1:3">
      <c r="A18" s="5">
        <v>228</v>
      </c>
      <c r="B18" t="s">
        <v>16</v>
      </c>
      <c r="C18" s="6" t="s">
        <v>22</v>
      </c>
    </row>
    <row r="19" ht="15" customHeight="1" spans="1:3">
      <c r="A19" s="5">
        <v>639.5</v>
      </c>
      <c r="B19" t="s">
        <v>16</v>
      </c>
      <c r="C19" s="6" t="s">
        <v>23</v>
      </c>
    </row>
    <row r="20" ht="15" customHeight="1" spans="1:3">
      <c r="A20" s="5">
        <v>1259.1</v>
      </c>
      <c r="B20" t="s">
        <v>16</v>
      </c>
      <c r="C20" s="6" t="s">
        <v>24</v>
      </c>
    </row>
    <row r="21" ht="15" customHeight="1" spans="1:3">
      <c r="A21" s="5">
        <v>1000</v>
      </c>
      <c r="B21" t="s">
        <v>25</v>
      </c>
      <c r="C21" s="18" t="s">
        <v>26</v>
      </c>
    </row>
    <row r="22" ht="15" customHeight="1" spans="1:3">
      <c r="A22" s="5">
        <v>13260</v>
      </c>
      <c r="B22" t="s">
        <v>25</v>
      </c>
      <c r="C22" s="6" t="s">
        <v>27</v>
      </c>
    </row>
    <row r="23" ht="15" customHeight="1" spans="1:3">
      <c r="A23" s="5">
        <v>47.97</v>
      </c>
      <c r="B23" t="s">
        <v>14</v>
      </c>
      <c r="C23" s="6" t="s">
        <v>28</v>
      </c>
    </row>
    <row r="24" ht="15" customHeight="1" spans="1:3">
      <c r="A24" s="5">
        <v>276.1</v>
      </c>
      <c r="B24" t="s">
        <v>14</v>
      </c>
      <c r="C24" s="6" t="s">
        <v>29</v>
      </c>
    </row>
    <row r="25" ht="15" customHeight="1" spans="1:3">
      <c r="A25" s="5">
        <v>6000</v>
      </c>
      <c r="B25" t="s">
        <v>9</v>
      </c>
      <c r="C25" s="18" t="s">
        <v>30</v>
      </c>
    </row>
    <row r="26" ht="15" customHeight="1" spans="1:3">
      <c r="A26" s="5">
        <v>640</v>
      </c>
      <c r="B26" t="s">
        <v>9</v>
      </c>
      <c r="C26" s="18" t="s">
        <v>31</v>
      </c>
    </row>
    <row r="27" ht="15" customHeight="1" spans="1:3">
      <c r="A27" s="5">
        <v>500</v>
      </c>
      <c r="B27" t="s">
        <v>32</v>
      </c>
      <c r="C27" s="18" t="s">
        <v>33</v>
      </c>
    </row>
    <row r="28" ht="15" customHeight="1" spans="1:3">
      <c r="A28" s="5">
        <v>600</v>
      </c>
      <c r="B28" t="s">
        <v>32</v>
      </c>
      <c r="C28" s="18" t="s">
        <v>34</v>
      </c>
    </row>
    <row r="29" ht="15" customHeight="1" spans="1:3">
      <c r="A29" s="5">
        <v>938</v>
      </c>
      <c r="B29" t="s">
        <v>25</v>
      </c>
      <c r="C29" s="18" t="s">
        <v>35</v>
      </c>
    </row>
    <row r="30" ht="15" customHeight="1" spans="1:3">
      <c r="A30" s="5">
        <v>1000</v>
      </c>
      <c r="B30" t="s">
        <v>25</v>
      </c>
      <c r="C30" s="18" t="s">
        <v>26</v>
      </c>
    </row>
    <row r="31" ht="15" customHeight="1" spans="1:3">
      <c r="A31" s="5">
        <v>60.5</v>
      </c>
      <c r="B31" t="s">
        <v>25</v>
      </c>
      <c r="C31" s="18" t="s">
        <v>36</v>
      </c>
    </row>
    <row r="32" ht="15" customHeight="1" spans="1:3">
      <c r="A32" s="5">
        <v>162.41</v>
      </c>
      <c r="B32" t="s">
        <v>37</v>
      </c>
      <c r="C32" s="18" t="s">
        <v>38</v>
      </c>
    </row>
    <row r="33" ht="15" customHeight="1" spans="1:3">
      <c r="A33" s="5">
        <v>42.16</v>
      </c>
      <c r="B33" t="s">
        <v>25</v>
      </c>
      <c r="C33" s="18" t="s">
        <v>35</v>
      </c>
    </row>
    <row r="34" ht="15" customHeight="1" spans="1:3">
      <c r="A34" s="5">
        <v>1000</v>
      </c>
      <c r="B34" t="s">
        <v>25</v>
      </c>
      <c r="C34" s="18" t="s">
        <v>26</v>
      </c>
    </row>
    <row r="35" ht="15" customHeight="1" spans="1:3">
      <c r="A35" s="17">
        <v>500</v>
      </c>
      <c r="B35" s="19" t="s">
        <v>9</v>
      </c>
      <c r="C35" s="20" t="s">
        <v>39</v>
      </c>
    </row>
    <row r="36" ht="15" customHeight="1" spans="1:3">
      <c r="A36" s="17">
        <v>1300</v>
      </c>
      <c r="B36" s="19" t="s">
        <v>25</v>
      </c>
      <c r="C36" s="20" t="s">
        <v>40</v>
      </c>
    </row>
    <row r="37" ht="15" customHeight="1" spans="1:3">
      <c r="A37" s="17">
        <v>253.84</v>
      </c>
      <c r="B37" s="19" t="s">
        <v>25</v>
      </c>
      <c r="C37" s="20" t="s">
        <v>36</v>
      </c>
    </row>
    <row r="38" ht="15" customHeight="1" spans="1:3">
      <c r="A38" s="17">
        <v>1000</v>
      </c>
      <c r="B38" s="19" t="s">
        <v>25</v>
      </c>
      <c r="C38" s="20" t="s">
        <v>26</v>
      </c>
    </row>
    <row r="39" ht="15" customHeight="1" spans="1:3">
      <c r="A39" s="17">
        <v>355.3</v>
      </c>
      <c r="B39" s="19" t="s">
        <v>25</v>
      </c>
      <c r="C39" s="20" t="s">
        <v>36</v>
      </c>
    </row>
    <row r="40" ht="15" customHeight="1" spans="1:3">
      <c r="A40" s="17">
        <v>3000</v>
      </c>
      <c r="B40" s="19" t="s">
        <v>25</v>
      </c>
      <c r="C40" s="20" t="s">
        <v>41</v>
      </c>
    </row>
    <row r="41" ht="15" customHeight="1" spans="1:3">
      <c r="A41" s="17">
        <v>174</v>
      </c>
      <c r="B41" s="19" t="s">
        <v>25</v>
      </c>
      <c r="C41" s="20" t="s">
        <v>36</v>
      </c>
    </row>
    <row r="42" ht="15" customHeight="1" spans="1:3">
      <c r="A42" s="17">
        <v>33.6</v>
      </c>
      <c r="B42" s="19" t="s">
        <v>14</v>
      </c>
      <c r="C42" s="20" t="s">
        <v>42</v>
      </c>
    </row>
    <row r="43" ht="15" customHeight="1" spans="1:3">
      <c r="A43" s="17">
        <v>500</v>
      </c>
      <c r="B43" s="19" t="s">
        <v>25</v>
      </c>
      <c r="C43" s="20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workbookViewId="0">
      <selection activeCell="A31" sqref="A3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35.5" customWidth="1"/>
  </cols>
  <sheetData>
    <row r="1" customHeight="1" spans="1:2">
      <c r="A1" s="2" t="s">
        <v>43</v>
      </c>
      <c r="B1" s="3">
        <f>SUM(成本明细表_6[成本明细])</f>
        <v>37512.81</v>
      </c>
    </row>
    <row r="2" customHeight="1" spans="1:2">
      <c r="A2" s="2" t="s">
        <v>44</v>
      </c>
      <c r="B2" s="3">
        <f>SUM(营业额明细表_5[营业额明细])</f>
        <v>42435.74</v>
      </c>
    </row>
    <row r="3" customHeight="1" spans="1:2">
      <c r="A3" s="2" t="s">
        <v>45</v>
      </c>
      <c r="B3" s="3">
        <f>B2-B1</f>
        <v>4922.92999999999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5">
        <v>4333</v>
      </c>
      <c r="B7" s="6" t="s">
        <v>6</v>
      </c>
      <c r="C7" s="6" t="s">
        <v>47</v>
      </c>
    </row>
    <row r="8" customHeight="1" spans="1:3">
      <c r="A8" s="5">
        <v>8500</v>
      </c>
      <c r="B8" s="6" t="s">
        <v>48</v>
      </c>
      <c r="C8" s="6" t="s">
        <v>49</v>
      </c>
    </row>
    <row r="9" customHeight="1" spans="1:3">
      <c r="A9" s="5">
        <v>1000</v>
      </c>
      <c r="B9" s="6" t="s">
        <v>25</v>
      </c>
      <c r="C9" s="6" t="s">
        <v>26</v>
      </c>
    </row>
    <row r="10" customHeight="1" spans="1:3">
      <c r="A10" s="5">
        <v>13260</v>
      </c>
      <c r="B10" s="6" t="s">
        <v>25</v>
      </c>
      <c r="C10" s="6" t="s">
        <v>27</v>
      </c>
    </row>
    <row r="11" customHeight="1" spans="1:3">
      <c r="A11" s="5">
        <v>600</v>
      </c>
      <c r="B11" s="6" t="s">
        <v>32</v>
      </c>
      <c r="C11" s="6" t="s">
        <v>34</v>
      </c>
    </row>
    <row r="12" customHeight="1" spans="1:3">
      <c r="A12" s="5">
        <v>938</v>
      </c>
      <c r="B12" s="6" t="s">
        <v>25</v>
      </c>
      <c r="C12" s="6" t="s">
        <v>35</v>
      </c>
    </row>
    <row r="13" customHeight="1" spans="1:3">
      <c r="A13" s="5">
        <v>1000</v>
      </c>
      <c r="B13" s="6" t="s">
        <v>25</v>
      </c>
      <c r="C13" s="6" t="s">
        <v>26</v>
      </c>
    </row>
    <row r="14" customHeight="1" spans="1:3">
      <c r="A14" s="5">
        <v>60.5</v>
      </c>
      <c r="B14" s="6" t="s">
        <v>25</v>
      </c>
      <c r="C14" s="6" t="s">
        <v>36</v>
      </c>
    </row>
    <row r="15" customHeight="1" spans="1:3">
      <c r="A15" s="5">
        <v>162.41</v>
      </c>
      <c r="B15" s="6" t="s">
        <v>37</v>
      </c>
      <c r="C15" s="6" t="s">
        <v>38</v>
      </c>
    </row>
    <row r="16" customHeight="1" spans="1:3">
      <c r="A16" s="5">
        <v>42.16</v>
      </c>
      <c r="B16" s="6" t="s">
        <v>25</v>
      </c>
      <c r="C16" s="6" t="s">
        <v>35</v>
      </c>
    </row>
    <row r="17" customHeight="1" spans="1:3">
      <c r="A17" s="5">
        <v>1000</v>
      </c>
      <c r="B17" s="6" t="s">
        <v>25</v>
      </c>
      <c r="C17" s="6" t="s">
        <v>26</v>
      </c>
    </row>
    <row r="18" customHeight="1" spans="1:3">
      <c r="A18" s="17">
        <v>1300</v>
      </c>
      <c r="B18" s="8" t="s">
        <v>25</v>
      </c>
      <c r="C18" s="8" t="s">
        <v>50</v>
      </c>
    </row>
    <row r="19" customHeight="1" spans="1:3">
      <c r="A19" s="17">
        <v>253.84</v>
      </c>
      <c r="B19" s="8" t="s">
        <v>25</v>
      </c>
      <c r="C19" s="8" t="s">
        <v>36</v>
      </c>
    </row>
    <row r="20" customHeight="1" spans="1:3">
      <c r="A20" s="17">
        <v>1000</v>
      </c>
      <c r="B20" s="8" t="s">
        <v>25</v>
      </c>
      <c r="C20" s="6" t="s">
        <v>26</v>
      </c>
    </row>
    <row r="21" customHeight="1" spans="1:3">
      <c r="A21" s="17">
        <v>355.3</v>
      </c>
      <c r="B21" s="8" t="s">
        <v>25</v>
      </c>
      <c r="C21" s="8" t="s">
        <v>36</v>
      </c>
    </row>
    <row r="22" customHeight="1" spans="1:3">
      <c r="A22" s="17">
        <v>3000</v>
      </c>
      <c r="B22" s="8" t="s">
        <v>25</v>
      </c>
      <c r="C22" s="8" t="s">
        <v>41</v>
      </c>
    </row>
    <row r="23" customHeight="1" spans="1:3">
      <c r="A23" s="17">
        <v>174</v>
      </c>
      <c r="B23" s="8" t="s">
        <v>25</v>
      </c>
      <c r="C23" s="8" t="s">
        <v>36</v>
      </c>
    </row>
    <row r="24" customHeight="1" spans="1:3">
      <c r="A24" s="17">
        <v>33.6</v>
      </c>
      <c r="B24" s="8" t="s">
        <v>14</v>
      </c>
      <c r="C24" s="8" t="s">
        <v>42</v>
      </c>
    </row>
    <row r="25" customHeight="1" spans="1:3">
      <c r="A25" s="17">
        <v>500</v>
      </c>
      <c r="B25" s="8" t="s">
        <v>25</v>
      </c>
      <c r="C25" s="8" t="s">
        <v>26</v>
      </c>
    </row>
    <row r="26" customHeight="1" spans="1:3">
      <c r="A26" s="2"/>
      <c r="B26" s="12"/>
      <c r="C26" s="6"/>
    </row>
    <row r="27" customHeight="1" spans="1:3">
      <c r="A27" s="2"/>
      <c r="B27" s="12"/>
      <c r="C27" s="6"/>
    </row>
    <row r="28" customHeight="1" spans="1:3">
      <c r="A28" s="2"/>
      <c r="B28" s="12"/>
      <c r="C28" s="6"/>
    </row>
    <row r="29" customHeight="1" spans="1:3">
      <c r="A29" s="2" t="s">
        <v>51</v>
      </c>
      <c r="B29" s="12" t="s">
        <v>4</v>
      </c>
      <c r="C29" s="6" t="s">
        <v>5</v>
      </c>
    </row>
    <row r="30" customHeight="1" spans="1:3">
      <c r="A30" s="13">
        <v>6683.96</v>
      </c>
      <c r="B30" s="12" t="s">
        <v>52</v>
      </c>
      <c r="C30" s="6"/>
    </row>
    <row r="31" customHeight="1" spans="1:3">
      <c r="A31" s="13">
        <v>1861.8</v>
      </c>
      <c r="B31" s="12" t="s">
        <v>53</v>
      </c>
      <c r="C31" s="6"/>
    </row>
    <row r="32" customHeight="1" spans="1:3">
      <c r="A32" s="13">
        <v>0</v>
      </c>
      <c r="B32" s="12" t="s">
        <v>54</v>
      </c>
      <c r="C32" s="6"/>
    </row>
    <row r="33" customHeight="1" spans="1:3">
      <c r="A33" s="13">
        <v>19919.1</v>
      </c>
      <c r="B33" s="12" t="s">
        <v>55</v>
      </c>
      <c r="C33" s="6"/>
    </row>
    <row r="34" customHeight="1" spans="1:3">
      <c r="A34" s="13">
        <v>13970.88</v>
      </c>
      <c r="B34" s="12" t="s">
        <v>56</v>
      </c>
      <c r="C34" s="6"/>
    </row>
    <row r="37" customHeight="1" spans="1:3">
      <c r="A37" s="2"/>
      <c r="B37" s="3"/>
      <c r="C37" s="15"/>
    </row>
    <row r="38" customHeight="1" spans="1:3">
      <c r="A38" s="2"/>
      <c r="B38" s="3"/>
      <c r="C38" s="16"/>
    </row>
    <row r="39" customHeight="1" spans="1:3">
      <c r="A39" s="2"/>
      <c r="C39" s="16"/>
    </row>
    <row r="43" customHeight="1" spans="1:3">
      <c r="A43" s="2"/>
      <c r="B43" s="12"/>
      <c r="C43" s="6"/>
    </row>
    <row r="44" customHeight="1" spans="1:3">
      <c r="A44" s="13"/>
      <c r="B44" s="12"/>
      <c r="C44" s="6"/>
    </row>
    <row r="45" customHeight="1" spans="1:3">
      <c r="A45" s="13"/>
      <c r="B45" s="12"/>
      <c r="C45" s="6"/>
    </row>
    <row r="46" customHeight="1" spans="1:3">
      <c r="A46" s="13"/>
      <c r="B46" s="12"/>
      <c r="C46" s="6"/>
    </row>
    <row r="47" customHeight="1" spans="1:3">
      <c r="A47" s="13"/>
      <c r="B47" s="12"/>
      <c r="C47" s="6"/>
    </row>
    <row r="48" customHeight="1" spans="1:3">
      <c r="A48" s="13"/>
      <c r="B48" s="12"/>
      <c r="C48" s="6"/>
    </row>
  </sheetData>
  <dataValidations count="2">
    <dataValidation type="list" allowBlank="1" showInputMessage="1" showErrorMessage="1" sqref="B21:B25">
      <formula1>"房租,装修,其他,设备,食材,推广,水电"</formula1>
    </dataValidation>
    <dataValidation type="list" allowBlank="1" showInputMessage="1" showErrorMessage="1" sqref="B7:B2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3"/>
  <sheetViews>
    <sheetView tabSelected="1" topLeftCell="A20" workbookViewId="0">
      <selection activeCell="C56" sqref="C56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2" t="s">
        <v>43</v>
      </c>
      <c r="B1" s="3">
        <f>SUM(成本明细表[成本明细])</f>
        <v>60027.22</v>
      </c>
    </row>
    <row r="2" customHeight="1" spans="1:2">
      <c r="A2" s="2" t="s">
        <v>44</v>
      </c>
      <c r="B2" s="3">
        <f>SUM(营业额明细表[营业额明细])</f>
        <v>32405.16</v>
      </c>
    </row>
    <row r="3" customHeight="1" spans="1:2">
      <c r="A3" s="2" t="s">
        <v>45</v>
      </c>
      <c r="B3" s="4">
        <f>B2-B1</f>
        <v>-27622.06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7">
        <v>4333</v>
      </c>
      <c r="B7" s="6" t="s">
        <v>6</v>
      </c>
      <c r="C7" s="6" t="s">
        <v>47</v>
      </c>
    </row>
    <row r="8" customHeight="1" spans="1:3">
      <c r="A8" s="7">
        <v>17000</v>
      </c>
      <c r="B8" s="6" t="s">
        <v>48</v>
      </c>
      <c r="C8" s="6" t="s">
        <v>57</v>
      </c>
    </row>
    <row r="9" customHeight="1" spans="1:3">
      <c r="A9" s="7">
        <v>4140</v>
      </c>
      <c r="B9" s="6" t="s">
        <v>25</v>
      </c>
      <c r="C9" s="6" t="s">
        <v>58</v>
      </c>
    </row>
    <row r="10" customHeight="1" spans="1:3">
      <c r="A10" s="7">
        <v>7866</v>
      </c>
      <c r="B10" s="8" t="s">
        <v>25</v>
      </c>
      <c r="C10" s="8" t="s">
        <v>59</v>
      </c>
    </row>
    <row r="11" customHeight="1" spans="1:3">
      <c r="A11" s="7">
        <v>28.64</v>
      </c>
      <c r="B11" s="8" t="s">
        <v>14</v>
      </c>
      <c r="C11" s="8" t="s">
        <v>60</v>
      </c>
    </row>
    <row r="12" customHeight="1" spans="1:3">
      <c r="A12" s="7">
        <v>44.48</v>
      </c>
      <c r="B12" s="8" t="s">
        <v>25</v>
      </c>
      <c r="C12" s="8" t="s">
        <v>36</v>
      </c>
    </row>
    <row r="13" customHeight="1" spans="1:3">
      <c r="A13" s="7">
        <v>3000</v>
      </c>
      <c r="B13" s="8" t="s">
        <v>25</v>
      </c>
      <c r="C13" s="8" t="s">
        <v>26</v>
      </c>
    </row>
    <row r="14" customHeight="1" spans="1:3">
      <c r="A14" s="7">
        <v>23</v>
      </c>
      <c r="B14" s="8" t="s">
        <v>25</v>
      </c>
      <c r="C14" s="8" t="s">
        <v>61</v>
      </c>
    </row>
    <row r="15" customHeight="1" spans="1:3">
      <c r="A15" s="7">
        <v>468</v>
      </c>
      <c r="B15" s="8" t="s">
        <v>25</v>
      </c>
      <c r="C15" s="8" t="s">
        <v>62</v>
      </c>
    </row>
    <row r="16" customHeight="1" spans="1:3">
      <c r="A16" s="7">
        <v>385</v>
      </c>
      <c r="B16" s="8" t="s">
        <v>25</v>
      </c>
      <c r="C16" s="8" t="s">
        <v>63</v>
      </c>
    </row>
    <row r="17" s="1" customFormat="1" customHeight="1" spans="1:3">
      <c r="A17" s="7">
        <v>295</v>
      </c>
      <c r="B17" s="8" t="s">
        <v>25</v>
      </c>
      <c r="C17" s="8" t="s">
        <v>64</v>
      </c>
    </row>
    <row r="18" s="1" customFormat="1" customHeight="1" spans="1:3">
      <c r="A18" s="7">
        <v>718</v>
      </c>
      <c r="B18" s="8" t="s">
        <v>25</v>
      </c>
      <c r="C18" s="8" t="s">
        <v>65</v>
      </c>
    </row>
    <row r="19" s="1" customFormat="1" customHeight="1" spans="1:3">
      <c r="A19" s="7">
        <v>57.6</v>
      </c>
      <c r="B19" s="8" t="s">
        <v>25</v>
      </c>
      <c r="C19" s="8" t="s">
        <v>66</v>
      </c>
    </row>
    <row r="20" customHeight="1" spans="1:3">
      <c r="A20" s="7">
        <v>302.5</v>
      </c>
      <c r="B20" s="8" t="s">
        <v>25</v>
      </c>
      <c r="C20" s="8" t="s">
        <v>67</v>
      </c>
    </row>
    <row r="21" customHeight="1" spans="1:3">
      <c r="A21" s="7">
        <v>400</v>
      </c>
      <c r="B21" s="8" t="s">
        <v>32</v>
      </c>
      <c r="C21" s="8" t="s">
        <v>68</v>
      </c>
    </row>
    <row r="22" customHeight="1" spans="1:3">
      <c r="A22" s="9">
        <v>225</v>
      </c>
      <c r="B22" s="8" t="s">
        <v>25</v>
      </c>
      <c r="C22" s="8" t="s">
        <v>69</v>
      </c>
    </row>
    <row r="23" customHeight="1" spans="1:3">
      <c r="A23" s="9">
        <v>350</v>
      </c>
      <c r="B23" s="8" t="s">
        <v>25</v>
      </c>
      <c r="C23" s="8" t="s">
        <v>70</v>
      </c>
    </row>
    <row r="24" customHeight="1" spans="1:3">
      <c r="A24" s="9">
        <v>112</v>
      </c>
      <c r="B24" s="8" t="s">
        <v>25</v>
      </c>
      <c r="C24" s="8" t="s">
        <v>71</v>
      </c>
    </row>
    <row r="25" customHeight="1" spans="1:3">
      <c r="A25" s="9">
        <v>198</v>
      </c>
      <c r="B25" s="8" t="s">
        <v>25</v>
      </c>
      <c r="C25" s="8" t="s">
        <v>72</v>
      </c>
    </row>
    <row r="26" customHeight="1" spans="1:3">
      <c r="A26" s="9">
        <v>100</v>
      </c>
      <c r="B26" s="8" t="s">
        <v>32</v>
      </c>
      <c r="C26" s="8" t="s">
        <v>73</v>
      </c>
    </row>
    <row r="27" customHeight="1" spans="1:3">
      <c r="A27" s="9">
        <v>362</v>
      </c>
      <c r="B27" s="8" t="s">
        <v>25</v>
      </c>
      <c r="C27" s="8" t="s">
        <v>74</v>
      </c>
    </row>
    <row r="28" customHeight="1" spans="1:3">
      <c r="A28" s="9">
        <v>300</v>
      </c>
      <c r="B28" s="8" t="s">
        <v>32</v>
      </c>
      <c r="C28" s="8" t="s">
        <v>75</v>
      </c>
    </row>
    <row r="29" customHeight="1" spans="1:3">
      <c r="A29" s="9">
        <v>128</v>
      </c>
      <c r="B29" s="8" t="s">
        <v>25</v>
      </c>
      <c r="C29" s="8" t="s">
        <v>76</v>
      </c>
    </row>
    <row r="30" customHeight="1" spans="1:3">
      <c r="A30" s="9">
        <v>304.63</v>
      </c>
      <c r="B30" s="8" t="s">
        <v>25</v>
      </c>
      <c r="C30" s="8" t="s">
        <v>67</v>
      </c>
    </row>
    <row r="31" customHeight="1" spans="1:3">
      <c r="A31" s="9">
        <v>4355.5</v>
      </c>
      <c r="B31" s="8" t="s">
        <v>25</v>
      </c>
      <c r="C31" s="8" t="s">
        <v>77</v>
      </c>
    </row>
    <row r="32" customHeight="1" spans="1:3">
      <c r="A32" s="9">
        <v>-180</v>
      </c>
      <c r="B32" s="8" t="s">
        <v>25</v>
      </c>
      <c r="C32" s="8" t="s">
        <v>78</v>
      </c>
    </row>
    <row r="33" customHeight="1" spans="1:3">
      <c r="A33" s="9">
        <v>350</v>
      </c>
      <c r="B33" s="8" t="s">
        <v>25</v>
      </c>
      <c r="C33" s="8" t="s">
        <v>79</v>
      </c>
    </row>
    <row r="34" customHeight="1" spans="1:3">
      <c r="A34" s="9">
        <v>224</v>
      </c>
      <c r="B34" s="8" t="s">
        <v>25</v>
      </c>
      <c r="C34" s="8" t="s">
        <v>80</v>
      </c>
    </row>
    <row r="35" customHeight="1" spans="1:3">
      <c r="A35" s="9">
        <v>177</v>
      </c>
      <c r="B35" s="8" t="s">
        <v>25</v>
      </c>
      <c r="C35" s="8" t="s">
        <v>81</v>
      </c>
    </row>
    <row r="36" customHeight="1" spans="1:3">
      <c r="A36" s="9">
        <v>112.2</v>
      </c>
      <c r="B36" s="8" t="s">
        <v>25</v>
      </c>
      <c r="C36" s="8" t="s">
        <v>82</v>
      </c>
    </row>
    <row r="37" customHeight="1" spans="1:3">
      <c r="A37" s="9">
        <v>-896</v>
      </c>
      <c r="B37" s="8" t="s">
        <v>25</v>
      </c>
      <c r="C37" s="8" t="s">
        <v>83</v>
      </c>
    </row>
    <row r="38" customHeight="1" spans="1:3">
      <c r="A38" s="9">
        <v>1188</v>
      </c>
      <c r="B38" s="8" t="s">
        <v>25</v>
      </c>
      <c r="C38" s="8" t="s">
        <v>84</v>
      </c>
    </row>
    <row r="39" customHeight="1" spans="1:3">
      <c r="A39" s="9">
        <v>2500</v>
      </c>
      <c r="B39" s="8" t="s">
        <v>25</v>
      </c>
      <c r="C39" s="8" t="s">
        <v>85</v>
      </c>
    </row>
    <row r="40" customHeight="1" spans="1:3">
      <c r="A40" s="9">
        <v>299</v>
      </c>
      <c r="B40" s="8" t="s">
        <v>14</v>
      </c>
      <c r="C40" s="8" t="s">
        <v>86</v>
      </c>
    </row>
    <row r="41" customHeight="1" spans="1:3">
      <c r="A41" s="9">
        <v>-433</v>
      </c>
      <c r="B41" s="8" t="s">
        <v>25</v>
      </c>
      <c r="C41" s="8" t="s">
        <v>87</v>
      </c>
    </row>
    <row r="42" customHeight="1" spans="1:3">
      <c r="A42" s="9">
        <v>50</v>
      </c>
      <c r="B42" s="8" t="s">
        <v>32</v>
      </c>
      <c r="C42" s="8" t="s">
        <v>88</v>
      </c>
    </row>
    <row r="43" customHeight="1" spans="1:3">
      <c r="A43" s="9">
        <v>601.92</v>
      </c>
      <c r="B43" s="8" t="s">
        <v>25</v>
      </c>
      <c r="C43" s="8" t="s">
        <v>89</v>
      </c>
    </row>
    <row r="44" customHeight="1" spans="1:3">
      <c r="A44" s="9">
        <v>390</v>
      </c>
      <c r="B44" s="8" t="s">
        <v>25</v>
      </c>
      <c r="C44" s="8" t="s">
        <v>90</v>
      </c>
    </row>
    <row r="45" customHeight="1" spans="1:3">
      <c r="A45" s="9">
        <v>300</v>
      </c>
      <c r="B45" s="8" t="s">
        <v>37</v>
      </c>
      <c r="C45" s="8" t="s">
        <v>91</v>
      </c>
    </row>
    <row r="46" customHeight="1" spans="1:3">
      <c r="A46" s="9">
        <v>125.1</v>
      </c>
      <c r="B46" s="8" t="s">
        <v>25</v>
      </c>
      <c r="C46" s="8" t="s">
        <v>92</v>
      </c>
    </row>
    <row r="47" customHeight="1" spans="1:3">
      <c r="A47" s="10">
        <v>170</v>
      </c>
      <c r="B47" s="11" t="s">
        <v>25</v>
      </c>
      <c r="C47" s="11" t="s">
        <v>93</v>
      </c>
    </row>
    <row r="48" customHeight="1" spans="1:3">
      <c r="A48" s="10">
        <v>1486.65</v>
      </c>
      <c r="B48" s="11" t="s">
        <v>14</v>
      </c>
      <c r="C48" s="11" t="s">
        <v>94</v>
      </c>
    </row>
    <row r="49" customHeight="1" spans="1:3">
      <c r="A49" s="10">
        <v>198</v>
      </c>
      <c r="B49" s="11" t="s">
        <v>25</v>
      </c>
      <c r="C49" s="11" t="s">
        <v>72</v>
      </c>
    </row>
    <row r="50" customHeight="1" spans="1:3">
      <c r="A50" s="10">
        <v>308</v>
      </c>
      <c r="B50" s="11" t="s">
        <v>25</v>
      </c>
      <c r="C50" s="11" t="s">
        <v>95</v>
      </c>
    </row>
    <row r="51" customHeight="1" spans="1:3">
      <c r="A51" s="10">
        <v>7560</v>
      </c>
      <c r="B51" s="11" t="s">
        <v>25</v>
      </c>
      <c r="C51" s="11" t="s">
        <v>96</v>
      </c>
    </row>
    <row r="52" customHeight="1" spans="1:3">
      <c r="A52" s="10"/>
      <c r="B52" s="11"/>
      <c r="C52" s="11"/>
    </row>
    <row r="53" customHeight="1" spans="1:3">
      <c r="A53" s="2"/>
      <c r="B53" s="12"/>
      <c r="C53" s="6"/>
    </row>
    <row r="54" customHeight="1" spans="1:3">
      <c r="A54" s="2" t="s">
        <v>51</v>
      </c>
      <c r="B54" s="12" t="s">
        <v>4</v>
      </c>
      <c r="C54" s="6" t="s">
        <v>5</v>
      </c>
    </row>
    <row r="55" customHeight="1" spans="1:3">
      <c r="A55" s="13">
        <v>3393.36</v>
      </c>
      <c r="B55" s="12" t="s">
        <v>52</v>
      </c>
      <c r="C55" s="6"/>
    </row>
    <row r="56" customHeight="1" spans="1:3">
      <c r="A56" s="13">
        <v>910.97</v>
      </c>
      <c r="B56" s="12" t="s">
        <v>53</v>
      </c>
      <c r="C56" s="6"/>
    </row>
    <row r="57" customHeight="1" spans="1:3">
      <c r="A57" s="13">
        <v>3114.59</v>
      </c>
      <c r="B57" s="12" t="s">
        <v>54</v>
      </c>
      <c r="C57" s="6"/>
    </row>
    <row r="58" customHeight="1" spans="1:3">
      <c r="A58" s="13">
        <v>13860.32</v>
      </c>
      <c r="B58" s="12" t="s">
        <v>55</v>
      </c>
      <c r="C58" s="6"/>
    </row>
    <row r="59" customHeight="1" spans="1:3">
      <c r="A59" s="14">
        <v>11125.92</v>
      </c>
      <c r="B59" s="12" t="s">
        <v>56</v>
      </c>
      <c r="C59" s="8"/>
    </row>
    <row r="61" customHeight="1" spans="1:3">
      <c r="A61" s="2"/>
      <c r="B61" s="3"/>
      <c r="C61" s="15"/>
    </row>
    <row r="62" customHeight="1" spans="1:3">
      <c r="A62" s="2"/>
      <c r="B62" s="3"/>
      <c r="C62" s="16"/>
    </row>
    <row r="63" customHeight="1" spans="1:3">
      <c r="A63" s="2"/>
      <c r="C63" s="16"/>
    </row>
  </sheetData>
  <dataValidations count="1">
    <dataValidation type="list" allowBlank="1" showInputMessage="1" showErrorMessage="1" sqref="B51 B52 B7:B5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2026-02流水 </vt:lpstr>
      <vt:lpstr>2026-03流水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2026-02-09T11:28:00Z</dcterms:created>
  <dcterms:modified xsi:type="dcterms:W3CDTF">2026-03-18T21:02:35Z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