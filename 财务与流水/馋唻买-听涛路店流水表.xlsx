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<sst xmlns="http://schemas.openxmlformats.org/spreadsheetml/2006/main" count="340" uniqueCount="135">
  <si>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</si>
  <si>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</si>
  <si>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</si>
  <si>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</si>
  <si>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</si>
  <si>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</si>
  <si>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</si>
  <si>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</si>
  <si>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</si>
  <si>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</si>
  <si>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</si>
  <si>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</si>
  <si>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</si>
  <si>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</si>
  <si>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</si>
  <si>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</si>
  <si>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</si>
  <si>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</si>
  <si>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</si>
  <si>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</si>
  <si>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</si>
  <si>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</si>
  <si>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</si>
  <si>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</si>
  <si>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</si>
  <si>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</si>
  <si>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</si>
  <si>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</si>
  <si>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</si>
  <si>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</si>
  <si>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</si>
  <si>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</si>
  <si>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</si>
  <si>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</si>
  <si>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</si>
  <si>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</si>
  <si>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</si>
  <si>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</si>
  <si>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</si>
  <si>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</si>
  <si>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</si>
  <si>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</si>
  <si>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</si>
  <si>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</si>
  <si>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</si>
  <si>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</si>
  <si>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</si>
  <si>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</si>
  <si>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</si>
  <si>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</si>
  <si>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</si>
  <si>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</si>
  <si>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</si>
  <si>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</si>
  <si>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</si>
  <si>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</si>
  <si>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</si>
  <si>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</si>
  <si>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</si>
  <si>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</si>
  <si>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</si>
  <si>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</si>
  <si>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</si>
  <si>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</si>
  <si>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</si>
  <si>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</si>
  <si>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</si>
  <si>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</si>
  <si>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支出明细</t>
  </si>
  <si>
    <t>月租金</t>
  </si>
  <si>
    <t>员工工资</t>
  </si>
  <si>
    <t>老池自购食材</t>
  </si>
  <si>
    <t>收入明细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</si>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</sst>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178" formatCode="#,##0.00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color rgb="FFFFFFFF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8" borderId="0">
      <alignment vertical="center"/>
    </xf>
    <xf numFmtId="0" fontId="8" fillId="32" borderId="0">
      <alignment vertical="center"/>
    </xf>
    <xf numFmtId="0" fontId="9" fillId="39" borderId="0">
      <alignment vertical="center"/>
    </xf>
    <xf numFmtId="0" fontId="24" fillId="37" borderId="11">
      <alignment vertical="center"/>
    </xf>
    <xf numFmtId="0" fontId="8" fillId="26" borderId="0">
      <alignment vertical="center"/>
    </xf>
    <xf numFmtId="0" fontId="8" fillId="31" borderId="0">
      <alignment vertical="center"/>
    </xf>
    <xf numFmtId="44" fontId="0" fillId="0" borderId="0">
      <alignment vertical="center"/>
    </xf>
    <xf numFmtId="0" fontId="9" fillId="14" borderId="0">
      <alignment vertical="center"/>
    </xf>
    <xf numFmtId="9" fontId="0" fillId="0" borderId="0">
      <alignment vertical="center"/>
    </xf>
    <xf numFmtId="0" fontId="9" fillId="40" borderId="0">
      <alignment vertical="center"/>
    </xf>
    <xf numFmtId="0" fontId="9" fillId="33" borderId="0">
      <alignment vertical="center"/>
    </xf>
    <xf numFmtId="0" fontId="9" fillId="27" borderId="0">
      <alignment vertical="center"/>
    </xf>
    <xf numFmtId="0" fontId="9" fillId="34" borderId="0">
      <alignment vertical="center"/>
    </xf>
    <xf numFmtId="0" fontId="9" fillId="36" borderId="0">
      <alignment vertical="center"/>
    </xf>
    <xf numFmtId="0" fontId="23" fillId="23" borderId="11">
      <alignment vertical="center"/>
    </xf>
    <xf numFmtId="0" fontId="9" fillId="19" borderId="0">
      <alignment vertical="center"/>
    </xf>
    <xf numFmtId="0" fontId="20" fillId="28" borderId="0">
      <alignment vertical="center"/>
    </xf>
    <xf numFmtId="0" fontId="8" fillId="29" borderId="0">
      <alignment vertical="center"/>
    </xf>
    <xf numFmtId="0" fontId="18" fillId="25" borderId="0">
      <alignment vertical="center"/>
    </xf>
    <xf numFmtId="0" fontId="8" fillId="20" borderId="0">
      <alignment vertical="center"/>
    </xf>
    <xf numFmtId="0" fontId="19" fillId="0" borderId="9">
      <alignment vertical="center"/>
    </xf>
    <xf numFmtId="0" fontId="16" fillId="24" borderId="0">
      <alignment vertical="center"/>
    </xf>
    <xf numFmtId="0" fontId="22" fillId="30" borderId="10">
      <alignment vertical="center"/>
    </xf>
    <xf numFmtId="0" fontId="15" fillId="23" borderId="8">
      <alignment vertical="center"/>
    </xf>
    <xf numFmtId="0" fontId="14" fillId="0" borderId="7">
      <alignment vertical="center"/>
    </xf>
    <xf numFmtId="0" fontId="17" fillId="0" borderId="0">
      <alignment vertical="center"/>
    </xf>
    <xf numFmtId="0" fontId="8" fillId="22" borderId="0">
      <alignment vertical="center"/>
    </xf>
    <xf numFmtId="0" fontId="7" fillId="0" borderId="0">
      <alignment vertical="center"/>
    </xf>
    <xf numFmtId="42" fontId="0" fillId="0" borderId="0">
      <alignment vertical="center"/>
    </xf>
    <xf numFmtId="0" fontId="8" fillId="17" borderId="0">
      <alignment vertical="center"/>
    </xf>
    <xf numFmtId="43" fontId="0" fillId="0" borderId="0">
      <alignment vertical="center"/>
    </xf>
    <xf numFmtId="0" fontId="12" fillId="0" borderId="0">
      <alignment vertical="center"/>
    </xf>
    <xf numFmtId="0" fontId="21" fillId="0" borderId="0">
      <alignment vertical="center"/>
    </xf>
    <xf numFmtId="0" fontId="8" fillId="16" borderId="0">
      <alignment vertical="center"/>
    </xf>
    <xf numFmtId="0" fontId="11" fillId="0" borderId="0">
      <alignment vertical="center"/>
    </xf>
    <xf numFmtId="0" fontId="9" fillId="15" borderId="0">
      <alignment vertical="center"/>
    </xf>
    <xf numFmtId="0" fontId="0" fillId="13" borderId="6">
      <alignment vertical="center"/>
    </xf>
    <xf numFmtId="0" fontId="8" fillId="12" borderId="0">
      <alignment vertical="center"/>
    </xf>
    <xf numFmtId="0" fontId="9" fillId="18" borderId="0">
      <alignment vertical="center"/>
    </xf>
    <xf numFmtId="0" fontId="8" fillId="11" borderId="0">
      <alignment vertical="center"/>
    </xf>
    <xf numFmtId="0" fontId="10" fillId="0" borderId="0">
      <alignment vertical="center"/>
    </xf>
    <xf numFmtId="41" fontId="0" fillId="0" borderId="0">
      <alignment vertical="center"/>
    </xf>
    <xf numFmtId="0" fontId="13" fillId="0" borderId="7">
      <alignment vertical="center"/>
    </xf>
    <xf numFmtId="0" fontId="8" fillId="35" borderId="0">
      <alignment vertical="center"/>
    </xf>
    <xf numFmtId="0" fontId="7" fillId="0" borderId="5">
      <alignment vertical="center"/>
    </xf>
    <xf numFmtId="0" fontId="9" fillId="21" borderId="0">
      <alignment vertical="center"/>
    </xf>
    <xf numFmtId="0" fontId="8" fillId="10" borderId="0">
      <alignment vertical="center"/>
    </xf>
    <xf numFmtId="0" fontId="6" fillId="0" borderId="4">
      <alignment vertical="center"/>
    </xf>
  </cellStyleXfs>
  <cellXfs count="41">
    <xf numFmtId="0" fontId="0" fillId="0" borderId="0" xfId="0"/>
    <xf numFmtId="177" fontId="0" fillId="0" borderId="0" xfId="0" applyNumberFormat="1"/>
    <xf numFmtId="177" fontId="0" fillId="0" borderId="0" xfId="0" applyNumberFormat="1" applyAlignment="1">
      <alignment horizontal="left"/>
    </xf>
    <xf numFmtId="176" fontId="0" fillId="0" borderId="0" xfId="0" applyNumberFormat="1"/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0" fontId="4" fillId="3" borderId="2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/>
    </xf>
    <xf numFmtId="10" fontId="5" fillId="4" borderId="3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/>
    </xf>
    <xf numFmtId="2" fontId="5" fillId="7" borderId="3" xfId="0" applyNumberFormat="1" applyFont="1" applyFill="1" applyBorder="1" applyAlignment="1">
      <alignment horizontal="center" vertical="center"/>
    </xf>
    <xf numFmtId="10" fontId="5" fillId="7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2" fontId="3" fillId="6" borderId="3" xfId="0" applyNumberFormat="1" applyFont="1" applyFill="1" applyBorder="1" applyAlignment="1">
      <alignment horizontal="center" vertical="center"/>
    </xf>
    <xf numFmtId="10" fontId="3" fillId="6" borderId="3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10" fontId="3" fillId="9" borderId="3" xfId="0" applyNumberFormat="1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57:C62" totalsRowShown="0">
  <autoFilter ref="A57:C6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34:C53" totalsRowShown="0">
  <autoFilter ref="A34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8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8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8" t="s">
        <v>30</v>
      </c>
    </row>
    <row r="26" ht="15" customHeight="1" spans="1:3">
      <c r="A26" s="13">
        <v>640</v>
      </c>
      <c r="B26" t="s">
        <v>9</v>
      </c>
      <c r="C26" s="38" t="s">
        <v>31</v>
      </c>
    </row>
    <row r="27" ht="15" customHeight="1" spans="1:3">
      <c r="A27" s="13">
        <v>500</v>
      </c>
      <c r="B27" t="s">
        <v>32</v>
      </c>
      <c r="C27" s="38" t="s">
        <v>33</v>
      </c>
    </row>
    <row r="28" ht="15" customHeight="1" spans="1:3">
      <c r="A28" s="13">
        <v>600</v>
      </c>
      <c r="B28" t="s">
        <v>32</v>
      </c>
      <c r="C28" s="38" t="s">
        <v>34</v>
      </c>
    </row>
    <row r="29" ht="15" customHeight="1" spans="1:3">
      <c r="A29" s="13">
        <v>938</v>
      </c>
      <c r="B29" t="s">
        <v>25</v>
      </c>
      <c r="C29" s="38" t="s">
        <v>35</v>
      </c>
    </row>
    <row r="30" ht="15" customHeight="1" spans="1:3">
      <c r="A30" s="13">
        <v>1000</v>
      </c>
      <c r="B30" t="s">
        <v>25</v>
      </c>
      <c r="C30" s="38" t="s">
        <v>26</v>
      </c>
    </row>
    <row r="31" ht="15" customHeight="1" spans="1:3">
      <c r="A31" s="13">
        <v>60.5</v>
      </c>
      <c r="B31" t="s">
        <v>25</v>
      </c>
      <c r="C31" s="38" t="s">
        <v>36</v>
      </c>
    </row>
    <row r="32" ht="15" customHeight="1" spans="1:3">
      <c r="A32" s="13">
        <v>162.41</v>
      </c>
      <c r="B32" t="s">
        <v>37</v>
      </c>
      <c r="C32" s="38" t="s">
        <v>38</v>
      </c>
    </row>
    <row r="33" ht="15" customHeight="1" spans="1:3">
      <c r="A33" s="13">
        <v>42.16</v>
      </c>
      <c r="B33" t="s">
        <v>25</v>
      </c>
      <c r="C33" s="38" t="s">
        <v>35</v>
      </c>
    </row>
    <row r="34" ht="15" customHeight="1" spans="1:3">
      <c r="A34" s="13">
        <v>1000</v>
      </c>
      <c r="B34" t="s">
        <v>25</v>
      </c>
      <c r="C34" s="38" t="s">
        <v>26</v>
      </c>
    </row>
    <row r="35" ht="15" customHeight="1" spans="1:3">
      <c r="A35" s="37">
        <v>500</v>
      </c>
      <c r="B35" s="39" t="s">
        <v>9</v>
      </c>
      <c r="C35" s="40" t="s">
        <v>39</v>
      </c>
    </row>
    <row r="36" ht="15" customHeight="1" spans="1:3">
      <c r="A36" s="37">
        <v>1300</v>
      </c>
      <c r="B36" s="39" t="s">
        <v>25</v>
      </c>
      <c r="C36" s="40" t="s">
        <v>40</v>
      </c>
    </row>
    <row r="37" ht="15" customHeight="1" spans="1:3">
      <c r="A37" s="37">
        <v>253.84</v>
      </c>
      <c r="B37" s="39" t="s">
        <v>25</v>
      </c>
      <c r="C37" s="40" t="s">
        <v>36</v>
      </c>
    </row>
    <row r="38" ht="15" customHeight="1" spans="1:3">
      <c r="A38" s="37">
        <v>1000</v>
      </c>
      <c r="B38" s="39" t="s">
        <v>25</v>
      </c>
      <c r="C38" s="40" t="s">
        <v>26</v>
      </c>
    </row>
    <row r="39" ht="15" customHeight="1" spans="1:3">
      <c r="A39" s="37">
        <v>355.3</v>
      </c>
      <c r="B39" s="39" t="s">
        <v>25</v>
      </c>
      <c r="C39" s="40" t="s">
        <v>36</v>
      </c>
    </row>
    <row r="40" ht="15" customHeight="1" spans="1:3">
      <c r="A40" s="37">
        <v>3000</v>
      </c>
      <c r="B40" s="39" t="s">
        <v>25</v>
      </c>
      <c r="C40" s="40" t="s">
        <v>41</v>
      </c>
    </row>
    <row r="41" ht="15" customHeight="1" spans="1:3">
      <c r="A41" s="37">
        <v>174</v>
      </c>
      <c r="B41" s="39" t="s">
        <v>25</v>
      </c>
      <c r="C41" s="40" t="s">
        <v>36</v>
      </c>
    </row>
    <row r="42" ht="15" customHeight="1" spans="1:3">
      <c r="A42" s="37">
        <v>33.6</v>
      </c>
      <c r="B42" s="39" t="s">
        <v>14</v>
      </c>
      <c r="C42" s="40" t="s">
        <v>42</v>
      </c>
    </row>
    <row r="43" ht="15" customHeight="1" spans="1:3">
      <c r="A43" s="37">
        <v>500</v>
      </c>
      <c r="B43" s="39" t="s">
        <v>25</v>
      </c>
      <c r="C43" s="4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zoomScale="112" zoomScaleNormal="112" workbookViewId="0">
      <selection activeCell="B6" sqref="B6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16.8" customHeight="1" spans="1:3">
      <c r="A1" s="15" t="s">
        <v>43</v>
      </c>
      <c r="B1" s="16"/>
      <c r="C1" s="16"/>
    </row>
    <row r="2" ht="16.8" customHeight="1" spans="1:3">
      <c r="A2" s="17" t="s">
        <v>44</v>
      </c>
      <c r="B2" s="17" t="s">
        <v>45</v>
      </c>
      <c r="C2" s="18" t="s">
        <v>46</v>
      </c>
    </row>
    <row r="3" ht="16.8" customHeight="1" spans="1:3">
      <c r="A3" s="19" t="s">
        <v>47</v>
      </c>
      <c r="B3" s="20">
        <f>SUM(收入明细2602[收入明细])</f>
        <v>42435.74</v>
      </c>
      <c r="C3" s="19" t="s">
        <v>48</v>
      </c>
    </row>
    <row r="4" ht="16.8" customHeight="1" spans="1:3">
      <c r="A4" s="19" t="s">
        <v>49</v>
      </c>
      <c r="B4" s="20">
        <f>SUM(支出明细2602[支出明细])</f>
        <v>37512.81</v>
      </c>
      <c r="C4" s="19" t="s">
        <v>48</v>
      </c>
    </row>
    <row r="5" ht="16.8" customHeight="1" spans="1:3">
      <c r="A5" s="19" t="s">
        <v>50</v>
      </c>
      <c r="B5" s="20">
        <f>B3-SUMIF(支出明细2602[分类],"食材",支出明细2602[支出明细])</f>
        <v>18551.94</v>
      </c>
      <c r="C5" s="19" t="s">
        <v>48</v>
      </c>
    </row>
    <row r="6" ht="16.8" customHeight="1" spans="1:3">
      <c r="A6" s="19" t="s">
        <v>51</v>
      </c>
      <c r="B6" s="20">
        <f>B3-B4</f>
        <v>4922.92999999999</v>
      </c>
      <c r="C6" s="19" t="s">
        <v>48</v>
      </c>
    </row>
    <row r="7" ht="16.8" customHeight="1" spans="1:3">
      <c r="A7" s="19" t="s">
        <v>52</v>
      </c>
      <c r="B7" s="21">
        <f>B5/B3</f>
        <v>0.437177247292023</v>
      </c>
      <c r="C7" s="19" t="s">
        <v>53</v>
      </c>
    </row>
    <row r="8" ht="16.8" customHeight="1" spans="1:3">
      <c r="A8" s="19" t="s">
        <v>54</v>
      </c>
      <c r="B8" s="21">
        <f>B6/B3</f>
        <v>0.116009052746576</v>
      </c>
      <c r="C8" s="19" t="s">
        <v>53</v>
      </c>
    </row>
    <row r="9" ht="16.8" customHeight="1"/>
    <row r="10" ht="16.8" customHeight="1"/>
    <row r="11" ht="16.8" customHeight="1" spans="1:3">
      <c r="A11" s="22" t="s">
        <v>55</v>
      </c>
      <c r="B11" s="23"/>
      <c r="C11" s="23"/>
    </row>
    <row r="12" ht="16.8" customHeight="1" spans="1:3">
      <c r="A12" s="24" t="s">
        <v>56</v>
      </c>
      <c r="B12" s="24" t="s">
        <v>57</v>
      </c>
      <c r="C12" s="24" t="s">
        <v>58</v>
      </c>
    </row>
    <row r="13" ht="16.8" customHeight="1" spans="1:3">
      <c r="A13" s="19" t="s">
        <v>59</v>
      </c>
      <c r="B13" s="20">
        <f>SUMIF(收入明细2602[分类],"淘宝外卖",收入明细2602[收入明细])</f>
        <v>19919.1</v>
      </c>
      <c r="C13" s="21">
        <f>B13/$B$3</f>
        <v>0.469394430260907</v>
      </c>
    </row>
    <row r="14" ht="16.8" customHeight="1" spans="1:3">
      <c r="A14" s="25" t="s">
        <v>60</v>
      </c>
      <c r="B14" s="26">
        <f>SUMIF(收入明细2602[分类],"美团外卖",收入明细2602[收入明细])</f>
        <v>13970.88</v>
      </c>
      <c r="C14" s="27">
        <f>B14/$B$3</f>
        <v>0.329224375491037</v>
      </c>
    </row>
    <row r="15" ht="16.8" customHeight="1" spans="1:3">
      <c r="A15" s="19" t="s">
        <v>61</v>
      </c>
      <c r="B15" s="20">
        <f>SUMIF(收入明细2602[分类],"微信堂食",收入明细2602[收入明细])</f>
        <v>6683.96</v>
      </c>
      <c r="C15" s="21">
        <f>B15/$B$3</f>
        <v>0.157507798850686</v>
      </c>
    </row>
    <row r="16" ht="16.8" customHeight="1" spans="1:3">
      <c r="A16" s="25" t="s">
        <v>62</v>
      </c>
      <c r="B16" s="26">
        <f>SUMIF(收入明细2602[分类],"支付宝堂食",收入明细2602[收入明细])</f>
        <v>1861.8</v>
      </c>
      <c r="C16" s="27">
        <f>B16/$B$3</f>
        <v>0.0438733953973702</v>
      </c>
    </row>
    <row r="17" ht="16.8" customHeight="1" spans="1:3">
      <c r="A17" s="19" t="s">
        <v>63</v>
      </c>
      <c r="B17" s="20">
        <f>SUMIF(收入明细2602[分类],"京东外卖",收入明细2602[收入明细])</f>
        <v>0</v>
      </c>
      <c r="C17" s="21">
        <f>B17/$B$3</f>
        <v>0</v>
      </c>
    </row>
    <row r="18" ht="16.8" customHeight="1" spans="1:3">
      <c r="A18" s="28" t="s">
        <v>64</v>
      </c>
      <c r="B18" s="29">
        <f>B3</f>
        <v>42435.74</v>
      </c>
      <c r="C18" s="30">
        <f>SUM(C13:C17)</f>
        <v>1</v>
      </c>
    </row>
    <row r="20" ht="16.8" customHeight="1"/>
    <row r="21" ht="16.8" customHeight="1" spans="1:3">
      <c r="A21" s="31" t="s">
        <v>65</v>
      </c>
      <c r="B21" s="32"/>
      <c r="C21" s="32"/>
    </row>
    <row r="22" ht="16.8" customHeight="1" spans="1:3">
      <c r="A22" s="33" t="s">
        <v>66</v>
      </c>
      <c r="B22" s="33" t="s">
        <v>57</v>
      </c>
      <c r="C22" s="33" t="s">
        <v>58</v>
      </c>
    </row>
    <row r="23" ht="16.8" customHeight="1" spans="1:3">
      <c r="A23" s="25" t="s">
        <v>25</v>
      </c>
      <c r="B23" s="26">
        <f>SUMIF(支出明细2602[分类],"食材",支出明细2602[支出明细])</f>
        <v>23883.8</v>
      </c>
      <c r="C23" s="27">
        <f>B23/$B$4</f>
        <v>0.636683842132861</v>
      </c>
    </row>
    <row r="24" ht="16.8" customHeight="1" spans="1:3">
      <c r="A24" s="19" t="s">
        <v>67</v>
      </c>
      <c r="B24" s="20">
        <f>SUMIF(支出明细2602[分类],"工资",支出明细2602[支出明细])</f>
        <v>8500</v>
      </c>
      <c r="C24" s="21">
        <f>B24/$B$4</f>
        <v>0.226589263774161</v>
      </c>
    </row>
    <row r="25" ht="16.8" customHeight="1" spans="1:3">
      <c r="A25" s="25" t="s">
        <v>6</v>
      </c>
      <c r="B25" s="26">
        <f>SUMIF(支出明细2602[分类],"房租",支出明细2602[支出明细])</f>
        <v>4333</v>
      </c>
      <c r="C25" s="27">
        <f>B25/$B$4</f>
        <v>0.115507209403934</v>
      </c>
    </row>
    <row r="26" ht="16.8" customHeight="1" spans="1:3">
      <c r="A26" s="19" t="s">
        <v>32</v>
      </c>
      <c r="B26" s="20">
        <f>SUMIF(支出明细2602[分类],"推广",支出明细2602[支出明细])</f>
        <v>600</v>
      </c>
      <c r="C26" s="21">
        <f>B26/$B$4</f>
        <v>0.0159945362664114</v>
      </c>
    </row>
    <row r="27" ht="16.8" customHeight="1" spans="1:3">
      <c r="A27" s="25" t="s">
        <v>37</v>
      </c>
      <c r="B27" s="26">
        <f>SUMIF(支出明细2602[分类],"水电",支出明细2602[支出明细])</f>
        <v>162.41</v>
      </c>
      <c r="C27" s="27">
        <f>B27/$B$4</f>
        <v>0.00432945439171312</v>
      </c>
    </row>
    <row r="28" ht="16.8" customHeight="1" spans="1:3">
      <c r="A28" s="19" t="s">
        <v>14</v>
      </c>
      <c r="B28" s="20">
        <f>SUMIF(支出明细2602[分类],"其他",支出明细2602[支出明细])</f>
        <v>33.6</v>
      </c>
      <c r="C28" s="21">
        <f>B28/$B$4</f>
        <v>0.000895694030919038</v>
      </c>
    </row>
    <row r="29" ht="16.8" customHeight="1" spans="1:3">
      <c r="A29" s="34" t="s">
        <v>64</v>
      </c>
      <c r="B29" s="35">
        <f>B4</f>
        <v>37512.81</v>
      </c>
      <c r="C29" s="36">
        <f>SUM(C23:C28)</f>
        <v>1</v>
      </c>
    </row>
    <row r="34" ht="22" customHeight="1" spans="1:3">
      <c r="A34" s="13" t="s">
        <v>68</v>
      </c>
      <c r="B34" s="4" t="s">
        <v>4</v>
      </c>
      <c r="C34" s="4" t="s">
        <v>5</v>
      </c>
    </row>
    <row r="35" ht="22" customHeight="1" spans="1:3">
      <c r="A35" s="13">
        <v>4333</v>
      </c>
      <c r="B35" s="4" t="s">
        <v>6</v>
      </c>
      <c r="C35" s="4" t="s">
        <v>69</v>
      </c>
    </row>
    <row r="36" ht="22" customHeight="1" spans="1:3">
      <c r="A36" s="13">
        <v>8500</v>
      </c>
      <c r="B36" s="4" t="s">
        <v>67</v>
      </c>
      <c r="C36" s="4" t="s">
        <v>70</v>
      </c>
    </row>
    <row r="37" ht="16.8" customHeight="1" spans="1:3">
      <c r="A37" s="13">
        <v>1000</v>
      </c>
      <c r="B37" s="4" t="s">
        <v>25</v>
      </c>
      <c r="C37" s="4" t="s">
        <v>26</v>
      </c>
    </row>
    <row r="38" ht="20" customHeight="1" spans="1:3">
      <c r="A38" s="13">
        <v>13260</v>
      </c>
      <c r="B38" s="4" t="s">
        <v>25</v>
      </c>
      <c r="C38" s="4" t="s">
        <v>27</v>
      </c>
    </row>
    <row r="39" ht="16.8" customHeight="1" spans="1:3">
      <c r="A39" s="13">
        <v>600</v>
      </c>
      <c r="B39" s="4" t="s">
        <v>32</v>
      </c>
      <c r="C39" s="4" t="s">
        <v>34</v>
      </c>
    </row>
    <row r="40" ht="16.8" customHeight="1" spans="1:3">
      <c r="A40" s="13">
        <v>938</v>
      </c>
      <c r="B40" s="4" t="s">
        <v>25</v>
      </c>
      <c r="C40" s="4" t="s">
        <v>35</v>
      </c>
    </row>
    <row r="41" ht="16.8" customHeight="1" spans="1:3">
      <c r="A41" s="13">
        <v>1000</v>
      </c>
      <c r="B41" s="4" t="s">
        <v>25</v>
      </c>
      <c r="C41" s="4" t="s">
        <v>26</v>
      </c>
    </row>
    <row r="42" ht="16.8" customHeight="1" spans="1:3">
      <c r="A42" s="13">
        <v>60.5</v>
      </c>
      <c r="B42" s="4" t="s">
        <v>25</v>
      </c>
      <c r="C42" s="4" t="s">
        <v>36</v>
      </c>
    </row>
    <row r="43" ht="16.8" customHeight="1" spans="1:3">
      <c r="A43" s="13">
        <v>162.41</v>
      </c>
      <c r="B43" s="4" t="s">
        <v>37</v>
      </c>
      <c r="C43" s="4" t="s">
        <v>38</v>
      </c>
    </row>
    <row r="44" ht="16.8" customHeight="1" spans="1:3">
      <c r="A44" s="13">
        <v>42.16</v>
      </c>
      <c r="B44" s="4" t="s">
        <v>25</v>
      </c>
      <c r="C44" s="4" t="s">
        <v>35</v>
      </c>
    </row>
    <row r="45" ht="16.8" customHeight="1" spans="1:3">
      <c r="A45" s="13">
        <v>1000</v>
      </c>
      <c r="B45" s="4" t="s">
        <v>25</v>
      </c>
      <c r="C45" s="4" t="s">
        <v>26</v>
      </c>
    </row>
    <row r="46" ht="16.8" customHeight="1" spans="1:3">
      <c r="A46" s="37">
        <v>1300</v>
      </c>
      <c r="B46" s="6" t="s">
        <v>25</v>
      </c>
      <c r="C46" s="6" t="s">
        <v>71</v>
      </c>
    </row>
    <row r="47" ht="20" customHeight="1" spans="1:3">
      <c r="A47" s="37">
        <v>253.84</v>
      </c>
      <c r="B47" s="6" t="s">
        <v>25</v>
      </c>
      <c r="C47" s="6" t="s">
        <v>36</v>
      </c>
    </row>
    <row r="48" ht="16.8" customHeight="1" spans="1:3">
      <c r="A48" s="37">
        <v>1000</v>
      </c>
      <c r="B48" s="6" t="s">
        <v>25</v>
      </c>
      <c r="C48" s="4" t="s">
        <v>26</v>
      </c>
    </row>
    <row r="49" ht="16.8" customHeight="1" spans="1:3">
      <c r="A49" s="37">
        <v>355.3</v>
      </c>
      <c r="B49" s="6" t="s">
        <v>25</v>
      </c>
      <c r="C49" s="6" t="s">
        <v>36</v>
      </c>
    </row>
    <row r="50" ht="16.8" customHeight="1" spans="1:3">
      <c r="A50" s="37">
        <v>3000</v>
      </c>
      <c r="B50" s="6" t="s">
        <v>25</v>
      </c>
      <c r="C50" s="6" t="s">
        <v>41</v>
      </c>
    </row>
    <row r="51" ht="16.8" customHeight="1" spans="1:3">
      <c r="A51" s="37">
        <v>174</v>
      </c>
      <c r="B51" s="6" t="s">
        <v>25</v>
      </c>
      <c r="C51" s="6" t="s">
        <v>36</v>
      </c>
    </row>
    <row r="52" ht="16.8" customHeight="1" spans="1:3">
      <c r="A52" s="37">
        <v>33.6</v>
      </c>
      <c r="B52" s="6" t="s">
        <v>14</v>
      </c>
      <c r="C52" s="6" t="s">
        <v>42</v>
      </c>
    </row>
    <row r="53" ht="16.8" customHeight="1" spans="1:3">
      <c r="A53" s="37">
        <v>500</v>
      </c>
      <c r="B53" s="6" t="s">
        <v>25</v>
      </c>
      <c r="C53" s="6" t="s">
        <v>26</v>
      </c>
    </row>
    <row r="54" ht="16.8" customHeight="1" spans="1:3">
      <c r="A54" s="12"/>
      <c r="B54" s="7"/>
      <c r="C54" s="4"/>
    </row>
    <row r="55" ht="16.8" customHeight="1" spans="1:3">
      <c r="A55" s="12"/>
      <c r="B55" s="7"/>
      <c r="C55" s="4"/>
    </row>
    <row r="56" ht="16.8" customHeight="1" spans="1:3">
      <c r="A56" s="12"/>
      <c r="B56" s="7"/>
      <c r="C56" s="4"/>
    </row>
    <row r="57" ht="16.8" customHeight="1" spans="1:3">
      <c r="A57" s="12" t="s">
        <v>72</v>
      </c>
      <c r="B57" s="7" t="s">
        <v>4</v>
      </c>
      <c r="C57" s="4" t="s">
        <v>5</v>
      </c>
    </row>
    <row r="58" ht="16.8" customHeight="1" spans="1:3">
      <c r="A58" s="8">
        <v>6683.96</v>
      </c>
      <c r="B58" s="7" t="s">
        <v>61</v>
      </c>
      <c r="C58" s="4"/>
    </row>
    <row r="59" ht="16.8" customHeight="1" spans="1:3">
      <c r="A59" s="8">
        <v>1861.8</v>
      </c>
      <c r="B59" s="7" t="s">
        <v>62</v>
      </c>
      <c r="C59" s="4"/>
    </row>
    <row r="60" ht="16.8" customHeight="1" spans="1:3">
      <c r="A60" s="8">
        <v>0</v>
      </c>
      <c r="B60" s="7" t="s">
        <v>63</v>
      </c>
      <c r="C60" s="4"/>
    </row>
    <row r="61" ht="16.8" customHeight="1" spans="1:3">
      <c r="A61" s="8">
        <v>19919.1</v>
      </c>
      <c r="B61" s="7" t="s">
        <v>59</v>
      </c>
      <c r="C61" s="4"/>
    </row>
    <row r="62" ht="16.8" customHeight="1" spans="1:3">
      <c r="A62" s="8">
        <v>13970.88</v>
      </c>
      <c r="B62" s="7" t="s">
        <v>60</v>
      </c>
      <c r="C62" s="4"/>
    </row>
    <row r="65" ht="16.8" customHeight="1" spans="1:3">
      <c r="A65" s="12"/>
      <c r="B65" s="3"/>
      <c r="C65" s="9"/>
    </row>
    <row r="66" ht="16.8" customHeight="1" spans="1:3">
      <c r="A66" s="12"/>
      <c r="B66" s="3"/>
      <c r="C66" s="10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49:B53">
      <formula1>"房租,装修,其他,设备,食材,推广,水电"</formula1>
    </dataValidation>
    <dataValidation type="list" allowBlank="1" showInputMessage="1" showErrorMessage="1" sqref="B35:B4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workbookViewId="0">
      <selection activeCell="B1" sqref="B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51</v>
      </c>
      <c r="B3" s="1">
        <f>B2-B1</f>
        <v>4788.59999999999</v>
      </c>
    </row>
    <row r="6" customHeight="1" spans="1:3">
      <c r="A6" s="13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72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62</v>
      </c>
      <c r="C78" s="4"/>
    </row>
    <row r="79" customHeight="1" spans="1:3">
      <c r="A79" s="8">
        <v>9171.69</v>
      </c>
      <c r="B79" s="7" t="s">
        <v>63</v>
      </c>
      <c r="C79" s="4"/>
    </row>
    <row r="80" customHeight="1" spans="1:3">
      <c r="A80" s="8">
        <v>28180.51</v>
      </c>
      <c r="B80" s="7" t="s">
        <v>59</v>
      </c>
      <c r="C80" s="4"/>
    </row>
    <row r="81" customHeight="1" spans="1:3">
      <c r="A81" s="14">
        <v>24949.9</v>
      </c>
      <c r="B81" s="7" t="s">
        <v>60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51</v>
      </c>
      <c r="B3" s="1">
        <f>B2-B1</f>
        <v>-31730.58</v>
      </c>
    </row>
    <row r="6" customHeight="1" spans="1:3">
      <c r="A6" s="2" t="s">
        <v>68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69</v>
      </c>
    </row>
    <row r="8" customHeight="1" spans="1:3">
      <c r="A8" s="2">
        <v>15000</v>
      </c>
      <c r="B8" s="4" t="s">
        <v>67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72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62</v>
      </c>
      <c r="C19" s="4"/>
    </row>
    <row r="20" customHeight="1" spans="1:3">
      <c r="A20" s="8">
        <v>0</v>
      </c>
      <c r="B20" s="7" t="s">
        <v>63</v>
      </c>
      <c r="C20" s="4"/>
    </row>
    <row r="21" customHeight="1" spans="1:3">
      <c r="A21" s="8">
        <v>0</v>
      </c>
      <c r="B21" s="7" t="s">
        <v>59</v>
      </c>
      <c r="C21" s="4"/>
    </row>
    <row r="22" customHeight="1" spans="1:3">
      <c r="A22" s="8">
        <v>0</v>
      </c>
      <c r="B22" s="7" t="s">
        <v>60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2026-02-20T03:28:00Z</dcterms:created>
  <dcterms:modified xsi:type="dcterms:W3CDTF">2026-04-01T16:01:01Z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