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<sst xmlns="http://schemas.openxmlformats.org/spreadsheetml/2006/main" count="690" uniqueCount="182">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</sst>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topLeftCell="A13" workbookViewId="0">
      <selection activeCell="A76" sqref="A7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39819.09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1226.49000000001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0.0298811711273176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0.469119711173711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0.301362989460583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0.108817152777725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0.0139925347364794</v>
      </c>
    </row>
    <row r="28" customHeight="1" spans="1:3">
      <c r="A28" s="10" t="s">
        <v>37</v>
      </c>
      <c r="B28" s="11">
        <f>SUMIF(支出明细26049[分类],"水电",支出明细26049[支出明细])</f>
        <v>3500</v>
      </c>
      <c r="C28" s="12">
        <f>$B$28/$B$4</f>
        <v>0.08789753859267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0.0188100732588314</v>
      </c>
    </row>
    <row r="30" customHeight="1" spans="1:3">
      <c r="A30" s="23" t="s">
        <v>65</v>
      </c>
      <c r="B30" s="24">
        <f>SUM(B24:B29)</f>
        <v>39819.09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opLeftCell="A34" workbookViewId="0">
      <selection activeCell="D50" sqref="D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30770.59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-9707.59</v>
      </c>
      <c r="C5" s="10" t="s">
        <v>49</v>
      </c>
    </row>
    <row r="6" customHeight="1" spans="1:3">
      <c r="A6" s="10" t="s">
        <v>52</v>
      </c>
      <c r="B6" s="11">
        <f>$B$3-$B$4</f>
        <v>-30770.59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9707.59</v>
      </c>
      <c r="C24" s="12">
        <f>$B$24/$B$4</f>
        <v>0.315482738550025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0.389982772511024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0.140816279440856</v>
      </c>
    </row>
    <row r="27" customHeight="1" spans="1:3">
      <c r="A27" s="10" t="s">
        <v>32</v>
      </c>
      <c r="B27" s="11">
        <f>SUMIF(支出明细26049_11[分类],"推广",支出明细26049_11[支出明细])</f>
        <v>1230</v>
      </c>
      <c r="C27" s="12">
        <f>$B$27/$B$4</f>
        <v>0.03997323418238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0.113744975315715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30770.59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1">
      <c r="A54" s="26"/>
    </row>
    <row r="55" customHeight="1" spans="1:1">
      <c r="A55" s="26"/>
    </row>
    <row r="56" customHeight="1" spans="1:1">
      <c r="A56" s="26"/>
    </row>
    <row r="57" customHeight="1" spans="1:1">
      <c r="A57" s="26"/>
    </row>
    <row r="58" customHeight="1" spans="1:1">
      <c r="A58" s="26"/>
    </row>
    <row r="59" customHeight="1" spans="1:1">
      <c r="A59" s="26"/>
    </row>
    <row r="60" customHeight="1" spans="1:1">
      <c r="A60" s="26"/>
    </row>
    <row r="61" customHeight="1" spans="1:1">
      <c r="A61" s="26"/>
    </row>
    <row r="62" customHeight="1" spans="1:1">
      <c r="A62" s="26"/>
    </row>
    <row r="63" customHeight="1" spans="1:1">
      <c r="A63" s="26"/>
    </row>
    <row r="64" customHeight="1" spans="1:1">
      <c r="A64" s="26"/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2026-06-01T10:14:59Z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