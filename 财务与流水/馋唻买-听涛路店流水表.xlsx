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1"/>
  </bookViews>
  <sheets>
    <sheet name="开店成本清单" sheetId="1" r:id="rId1"/>
    <sheet name="流水-202602 (2)" sheetId="3" r:id="rId2"/>
    <sheet name="流水-202603" sheetId="2" r:id="rId3"/>
  </sheets>
  <calcPr calcId="144525"/>
</workbook>
</file>

<file path=xl/sharedStrings.xml><?xml version="1.0" encoding="utf-8"?>
<sst xmlns="http://schemas.openxmlformats.org/spreadsheetml/2006/main" count="157" uniqueCount="67">
  <si>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</si>
  <si>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</si>
  <si>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</si>
  <si>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</si>
  <si>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</si>
  <si>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</si>
  <si>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</si>
  <si>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</si>
  <si>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</si>
  <si>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</si>
  <si>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</si>
  <si>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</si>
  <si>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</si>
  <si>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</si>
  <si>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</si>
  <si>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</si>
  <si>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</si>
  <si>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</si>
  <si>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</si>
  <si>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</si>
  <si>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</si>
  <si>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</si>
  <si>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</si>
  <si>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</si>
  <si>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</si>
  <si>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</si>
  <si>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</si>
  <si>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</si>
  <si>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</si>
  <si>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</si>
  <si>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</si>
  <si>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</si>
  <si>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</si>
  <si>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</si>
  <si>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</si>
  <si>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</si>
  <si>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</si>
  <si>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</si>
  <si>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</si>
  <si>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</si>
  <si>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</si>
  <si>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</si>
  <si>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</si>
  <si>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</si>
  <si>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</si>
  <si>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</si>
  <si>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</si>
  <si>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</si>
  <si>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美团推广费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</si>
  <si>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</si>
  <si>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</si>
  <si>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</si>
  <si>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</si>
  <si>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</si>
  <si>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</si>
  <si>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</si>
  <si>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</si>
  <si>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</si>
  <si>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</si>
  <si>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3员工工资</t>
  </si>
  <si>
    <t>首批食材</t>
  </si>
  <si>
    <t>堂食</t>
  </si>
  <si>
    <t>京东</t>
  </si>
  <si>
    <t>淘宝</t>
  </si>
  <si>
    <t>美团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</si>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</sst>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6" formatCode="#,##0.00_ "/>
    <numFmt numFmtId="177" formatCode="0.00_);[Red]\(0.00\)"/>
    <numFmt numFmtId="43" formatCode="_ * #,##0.00_ ;_ * \-#,##0.00_ ;_ 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0" fillId="1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4" fillId="20" borderId="6" applyNumberForma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7" fillId="28" borderId="7" applyNumberFormat="0" applyAlignment="0" applyProtection="0">
      <alignment vertical="center"/>
    </xf>
    <xf numFmtId="0" fontId="8" fillId="6" borderId="5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</cellStyleXfs>
  <cellXfs count="14">
    <xf numFmtId="0" fontId="0" fillId="0" borderId="0" xfId="0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3:C28" totalsRowShown="0">
  <autoFilter ref="A23:C28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1:C21" totalsRowShown="0">
  <autoFilter ref="A1:C21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:C10" totalsRowShown="0">
  <autoFilter ref="A6:C10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1:C4" totalsRowShown="0">
  <autoFilter ref="A1:C4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I31" sqref="I31"/>
    </sheetView>
  </sheetViews>
  <sheetFormatPr defaultColWidth="9" defaultRowHeight="16.8" outlineLevelCol="2"/>
  <cols>
    <col min="1" max="1" width="23.75" style="3" customWidth="1"/>
    <col min="2" max="2" width="20.375" customWidth="1"/>
    <col min="3" max="3" width="37.25" style="11" customWidth="1"/>
  </cols>
  <sheetData>
    <row r="1" ht="15" customHeight="1" spans="1:3">
      <c r="A1" s="3" t="s">
        <v>0</v>
      </c>
      <c r="C1" s="7">
        <v>100000</v>
      </c>
    </row>
    <row r="2" ht="15" customHeight="1" spans="1:3">
      <c r="A2" s="3" t="s">
        <v>1</v>
      </c>
      <c r="C2" s="8">
        <f>SUM(成本明细[金额(元)])</f>
        <v>99761.38</v>
      </c>
    </row>
    <row r="3" ht="15" customHeight="1" spans="1:3">
      <c r="A3" s="3" t="s">
        <v>2</v>
      </c>
      <c r="C3" s="8">
        <f>C1-C2</f>
        <v>238.619999999981</v>
      </c>
    </row>
    <row r="4" ht="15" customHeight="1"/>
    <row r="5" ht="15" customHeight="1" spans="1:3">
      <c r="A5" s="3" t="s">
        <v>3</v>
      </c>
      <c r="B5" s="4" t="s">
        <v>4</v>
      </c>
      <c r="C5" s="2" t="s">
        <v>5</v>
      </c>
    </row>
    <row r="6" ht="15" customHeight="1" spans="1:3">
      <c r="A6" s="1">
        <v>10000</v>
      </c>
      <c r="B6" t="s">
        <v>6</v>
      </c>
      <c r="C6" s="2" t="s">
        <v>7</v>
      </c>
    </row>
    <row r="7" ht="15" customHeight="1" spans="1:3">
      <c r="A7" s="1">
        <v>26000</v>
      </c>
      <c r="B7" t="s">
        <v>6</v>
      </c>
      <c r="C7" s="2" t="s">
        <v>8</v>
      </c>
    </row>
    <row r="8" ht="15" customHeight="1" spans="1:3">
      <c r="A8" s="1">
        <v>6000</v>
      </c>
      <c r="B8" t="s">
        <v>9</v>
      </c>
      <c r="C8" s="2" t="s">
        <v>10</v>
      </c>
    </row>
    <row r="9" ht="15" customHeight="1" spans="1:3">
      <c r="A9" s="1">
        <v>3000</v>
      </c>
      <c r="B9" t="s">
        <v>9</v>
      </c>
      <c r="C9" s="2" t="s">
        <v>11</v>
      </c>
    </row>
    <row r="10" ht="15" customHeight="1" spans="1:3">
      <c r="A10" s="1">
        <v>2100</v>
      </c>
      <c r="B10" t="s">
        <v>9</v>
      </c>
      <c r="C10" s="2" t="s">
        <v>12</v>
      </c>
    </row>
    <row r="11" ht="15" customHeight="1" spans="1:3">
      <c r="A11" s="1">
        <v>340</v>
      </c>
      <c r="B11" t="s">
        <v>9</v>
      </c>
      <c r="C11" s="2" t="s">
        <v>13</v>
      </c>
    </row>
    <row r="12" ht="15" customHeight="1" spans="1:3">
      <c r="A12" s="1">
        <v>200</v>
      </c>
      <c r="B12" t="s">
        <v>14</v>
      </c>
      <c r="C12" s="2" t="s">
        <v>15</v>
      </c>
    </row>
    <row r="13" ht="15" customHeight="1" spans="1:3">
      <c r="A13" s="1">
        <v>11000</v>
      </c>
      <c r="B13" t="s">
        <v>16</v>
      </c>
      <c r="C13" s="2" t="s">
        <v>17</v>
      </c>
    </row>
    <row r="14" ht="15" customHeight="1" spans="1:3">
      <c r="A14" s="1">
        <v>5000</v>
      </c>
      <c r="B14" t="s">
        <v>9</v>
      </c>
      <c r="C14" s="2" t="s">
        <v>18</v>
      </c>
    </row>
    <row r="15" ht="15" customHeight="1" spans="1:3">
      <c r="A15" s="1">
        <v>755</v>
      </c>
      <c r="B15" t="s">
        <v>16</v>
      </c>
      <c r="C15" s="2" t="s">
        <v>19</v>
      </c>
    </row>
    <row r="16" ht="15" customHeight="1" spans="1:3">
      <c r="A16" s="1">
        <v>190</v>
      </c>
      <c r="B16" t="s">
        <v>9</v>
      </c>
      <c r="C16" s="2" t="s">
        <v>20</v>
      </c>
    </row>
    <row r="17" ht="15" customHeight="1" spans="1:3">
      <c r="A17" s="1">
        <v>405.9</v>
      </c>
      <c r="B17" t="s">
        <v>16</v>
      </c>
      <c r="C17" s="2" t="s">
        <v>21</v>
      </c>
    </row>
    <row r="18" ht="15" customHeight="1" spans="1:3">
      <c r="A18" s="1">
        <v>228</v>
      </c>
      <c r="B18" t="s">
        <v>16</v>
      </c>
      <c r="C18" s="2" t="s">
        <v>22</v>
      </c>
    </row>
    <row r="19" ht="15" customHeight="1" spans="1:3">
      <c r="A19" s="1">
        <v>639.5</v>
      </c>
      <c r="B19" t="s">
        <v>16</v>
      </c>
      <c r="C19" s="2" t="s">
        <v>23</v>
      </c>
    </row>
    <row r="20" ht="15" customHeight="1" spans="1:3">
      <c r="A20" s="1">
        <v>1259.1</v>
      </c>
      <c r="B20" t="s">
        <v>16</v>
      </c>
      <c r="C20" s="2" t="s">
        <v>24</v>
      </c>
    </row>
    <row r="21" ht="15" customHeight="1" spans="1:3">
      <c r="A21" s="1">
        <v>1000</v>
      </c>
      <c r="B21" t="s">
        <v>25</v>
      </c>
      <c r="C21" s="11" t="s">
        <v>26</v>
      </c>
    </row>
    <row r="22" ht="15" customHeight="1" spans="1:3">
      <c r="A22" s="1">
        <v>13260</v>
      </c>
      <c r="B22" t="s">
        <v>25</v>
      </c>
      <c r="C22" s="2" t="s">
        <v>27</v>
      </c>
    </row>
    <row r="23" ht="15" customHeight="1" spans="1:3">
      <c r="A23" s="1">
        <v>47.97</v>
      </c>
      <c r="B23" t="s">
        <v>14</v>
      </c>
      <c r="C23" s="2" t="s">
        <v>28</v>
      </c>
    </row>
    <row r="24" ht="15" customHeight="1" spans="1:3">
      <c r="A24" s="1">
        <v>276.1</v>
      </c>
      <c r="B24" t="s">
        <v>14</v>
      </c>
      <c r="C24" s="2" t="s">
        <v>29</v>
      </c>
    </row>
    <row r="25" ht="15" customHeight="1" spans="1:3">
      <c r="A25" s="1">
        <v>6000</v>
      </c>
      <c r="B25" t="s">
        <v>9</v>
      </c>
      <c r="C25" s="11" t="s">
        <v>30</v>
      </c>
    </row>
    <row r="26" ht="15" customHeight="1" spans="1:3">
      <c r="A26" s="1">
        <v>640</v>
      </c>
      <c r="B26" t="s">
        <v>9</v>
      </c>
      <c r="C26" s="11" t="s">
        <v>31</v>
      </c>
    </row>
    <row r="27" ht="15" customHeight="1" spans="1:3">
      <c r="A27" s="1">
        <v>500</v>
      </c>
      <c r="B27" t="s">
        <v>32</v>
      </c>
      <c r="C27" s="11" t="s">
        <v>33</v>
      </c>
    </row>
    <row r="28" ht="15" customHeight="1" spans="1:3">
      <c r="A28" s="1">
        <v>600</v>
      </c>
      <c r="B28" t="s">
        <v>32</v>
      </c>
      <c r="C28" s="11" t="s">
        <v>34</v>
      </c>
    </row>
    <row r="29" ht="15" customHeight="1" spans="1:3">
      <c r="A29" s="1">
        <v>938</v>
      </c>
      <c r="B29" t="s">
        <v>25</v>
      </c>
      <c r="C29" s="11" t="s">
        <v>35</v>
      </c>
    </row>
    <row r="30" ht="15" customHeight="1" spans="1:3">
      <c r="A30" s="1">
        <v>1000</v>
      </c>
      <c r="B30" t="s">
        <v>25</v>
      </c>
      <c r="C30" s="11" t="s">
        <v>26</v>
      </c>
    </row>
    <row r="31" ht="15" customHeight="1" spans="1:3">
      <c r="A31" s="1">
        <v>60.5</v>
      </c>
      <c r="B31" t="s">
        <v>25</v>
      </c>
      <c r="C31" s="11" t="s">
        <v>36</v>
      </c>
    </row>
    <row r="32" ht="15" customHeight="1" spans="1:3">
      <c r="A32" s="1">
        <v>162.41</v>
      </c>
      <c r="B32" t="s">
        <v>37</v>
      </c>
      <c r="C32" s="11" t="s">
        <v>38</v>
      </c>
    </row>
    <row r="33" ht="15" customHeight="1" spans="1:3">
      <c r="A33" s="1">
        <v>42.16</v>
      </c>
      <c r="B33" t="s">
        <v>25</v>
      </c>
      <c r="C33" s="11" t="s">
        <v>35</v>
      </c>
    </row>
    <row r="34" ht="15" customHeight="1" spans="1:3">
      <c r="A34" s="1">
        <v>1000</v>
      </c>
      <c r="B34" t="s">
        <v>25</v>
      </c>
      <c r="C34" s="11" t="s">
        <v>26</v>
      </c>
    </row>
    <row r="35" ht="15" customHeight="1" spans="1:3">
      <c r="A35" s="9">
        <v>500</v>
      </c>
      <c r="B35" s="12" t="s">
        <v>9</v>
      </c>
      <c r="C35" s="13" t="s">
        <v>39</v>
      </c>
    </row>
    <row r="36" ht="15" customHeight="1" spans="1:3">
      <c r="A36" s="9">
        <v>1300</v>
      </c>
      <c r="B36" s="12" t="s">
        <v>25</v>
      </c>
      <c r="C36" s="13" t="s">
        <v>40</v>
      </c>
    </row>
    <row r="37" ht="15" customHeight="1" spans="1:3">
      <c r="A37" s="9">
        <v>253.84</v>
      </c>
      <c r="B37" s="12" t="s">
        <v>25</v>
      </c>
      <c r="C37" s="13" t="s">
        <v>36</v>
      </c>
    </row>
    <row r="38" ht="15" customHeight="1" spans="1:3">
      <c r="A38" s="9">
        <v>1000</v>
      </c>
      <c r="B38" s="12" t="s">
        <v>25</v>
      </c>
      <c r="C38" s="13" t="s">
        <v>26</v>
      </c>
    </row>
    <row r="39" ht="15" customHeight="1" spans="1:3">
      <c r="A39" s="9">
        <v>355.3</v>
      </c>
      <c r="B39" s="12" t="s">
        <v>25</v>
      </c>
      <c r="C39" s="13" t="s">
        <v>36</v>
      </c>
    </row>
    <row r="40" ht="15" customHeight="1" spans="1:3">
      <c r="A40" s="9">
        <v>3000</v>
      </c>
      <c r="B40" s="12" t="s">
        <v>25</v>
      </c>
      <c r="C40" s="13" t="s">
        <v>41</v>
      </c>
    </row>
    <row r="41" ht="15" customHeight="1" spans="1:3">
      <c r="A41" s="9">
        <v>174</v>
      </c>
      <c r="B41" s="12" t="s">
        <v>25</v>
      </c>
      <c r="C41" s="13" t="s">
        <v>36</v>
      </c>
    </row>
    <row r="42" ht="15" customHeight="1" spans="1:3">
      <c r="A42" s="9">
        <v>33.6</v>
      </c>
      <c r="B42" s="12" t="s">
        <v>14</v>
      </c>
      <c r="C42" s="13" t="s">
        <v>42</v>
      </c>
    </row>
    <row r="43" ht="15" customHeight="1" spans="1:3">
      <c r="A43" s="9">
        <v>500</v>
      </c>
      <c r="B43" s="12" t="s">
        <v>25</v>
      </c>
      <c r="C43" s="13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5"/>
  <sheetViews>
    <sheetView tabSelected="1" workbookViewId="0">
      <selection activeCell="B36" sqref="B36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43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44</v>
      </c>
    </row>
    <row r="3" customHeight="1" spans="1:3">
      <c r="A3" s="1">
        <v>12000</v>
      </c>
      <c r="B3" s="2" t="s">
        <v>45</v>
      </c>
      <c r="C3" s="2" t="s">
        <v>46</v>
      </c>
    </row>
    <row r="4" customHeight="1" spans="1:3">
      <c r="A4" s="1">
        <v>1000</v>
      </c>
      <c r="B4" s="2" t="s">
        <v>25</v>
      </c>
      <c r="C4" s="2" t="s">
        <v>26</v>
      </c>
    </row>
    <row r="5" customHeight="1" spans="1:3">
      <c r="A5" s="1">
        <v>13260</v>
      </c>
      <c r="B5" s="2" t="s">
        <v>25</v>
      </c>
      <c r="C5" s="2" t="s">
        <v>27</v>
      </c>
    </row>
    <row r="6" customHeight="1" spans="1:3">
      <c r="A6" s="1">
        <v>600</v>
      </c>
      <c r="B6" s="2" t="s">
        <v>32</v>
      </c>
      <c r="C6" s="2" t="s">
        <v>34</v>
      </c>
    </row>
    <row r="7" customHeight="1" spans="1:3">
      <c r="A7" s="1">
        <v>938</v>
      </c>
      <c r="B7" s="2" t="s">
        <v>25</v>
      </c>
      <c r="C7" s="2" t="s">
        <v>35</v>
      </c>
    </row>
    <row r="8" customHeight="1" spans="1:3">
      <c r="A8" s="1">
        <v>1000</v>
      </c>
      <c r="B8" s="2" t="s">
        <v>25</v>
      </c>
      <c r="C8" s="2" t="s">
        <v>26</v>
      </c>
    </row>
    <row r="9" customHeight="1" spans="1:3">
      <c r="A9" s="1">
        <v>60.5</v>
      </c>
      <c r="B9" s="2" t="s">
        <v>25</v>
      </c>
      <c r="C9" s="2" t="s">
        <v>36</v>
      </c>
    </row>
    <row r="10" customHeight="1" spans="1:3">
      <c r="A10" s="1">
        <v>162.41</v>
      </c>
      <c r="B10" s="2" t="s">
        <v>37</v>
      </c>
      <c r="C10" s="2" t="s">
        <v>38</v>
      </c>
    </row>
    <row r="11" customHeight="1" spans="1:3">
      <c r="A11" s="1">
        <v>42.16</v>
      </c>
      <c r="B11" s="2" t="s">
        <v>25</v>
      </c>
      <c r="C11" s="2" t="s">
        <v>35</v>
      </c>
    </row>
    <row r="12" customHeight="1" spans="1:3">
      <c r="A12" s="1">
        <v>1000</v>
      </c>
      <c r="B12" s="2" t="s">
        <v>25</v>
      </c>
      <c r="C12" s="2" t="s">
        <v>26</v>
      </c>
    </row>
    <row r="13" customHeight="1" spans="1:3">
      <c r="A13" s="9">
        <v>1300</v>
      </c>
      <c r="B13" s="10" t="s">
        <v>25</v>
      </c>
      <c r="C13" s="10" t="s">
        <v>47</v>
      </c>
    </row>
    <row r="14" customHeight="1" spans="1:3">
      <c r="A14" s="9">
        <v>253.84</v>
      </c>
      <c r="B14" s="10" t="s">
        <v>25</v>
      </c>
      <c r="C14" s="10" t="s">
        <v>36</v>
      </c>
    </row>
    <row r="15" customHeight="1" spans="1:3">
      <c r="A15" s="9">
        <v>1000</v>
      </c>
      <c r="B15" s="10" t="s">
        <v>25</v>
      </c>
      <c r="C15" s="2" t="s">
        <v>26</v>
      </c>
    </row>
    <row r="16" customHeight="1" spans="1:3">
      <c r="A16" s="9">
        <v>355.3</v>
      </c>
      <c r="B16" s="10" t="s">
        <v>25</v>
      </c>
      <c r="C16" s="10" t="s">
        <v>36</v>
      </c>
    </row>
    <row r="17" customHeight="1" spans="1:3">
      <c r="A17" s="9">
        <v>3000</v>
      </c>
      <c r="B17" s="10" t="s">
        <v>25</v>
      </c>
      <c r="C17" s="10" t="s">
        <v>41</v>
      </c>
    </row>
    <row r="18" customHeight="1" spans="1:3">
      <c r="A18" s="9">
        <v>174</v>
      </c>
      <c r="B18" s="10" t="s">
        <v>25</v>
      </c>
      <c r="C18" s="10" t="s">
        <v>36</v>
      </c>
    </row>
    <row r="19" customHeight="1" spans="1:3">
      <c r="A19" s="9">
        <v>33.6</v>
      </c>
      <c r="B19" s="10" t="s">
        <v>14</v>
      </c>
      <c r="C19" s="10" t="s">
        <v>42</v>
      </c>
    </row>
    <row r="20" customHeight="1" spans="1:3">
      <c r="A20" s="9">
        <v>500</v>
      </c>
      <c r="B20" s="10" t="s">
        <v>25</v>
      </c>
      <c r="C20" s="10" t="s">
        <v>26</v>
      </c>
    </row>
    <row r="21" customHeight="1" spans="1:3">
      <c r="A21" s="3">
        <v>1000</v>
      </c>
      <c r="B21" s="4" t="s">
        <v>32</v>
      </c>
      <c r="C21" s="2" t="s">
        <v>48</v>
      </c>
    </row>
    <row r="22" customHeight="1" spans="1:3">
      <c r="A22" s="3"/>
      <c r="B22" s="4"/>
      <c r="C22" s="2"/>
    </row>
    <row r="23" customHeight="1" spans="1:3">
      <c r="A23" s="3" t="s">
        <v>49</v>
      </c>
      <c r="B23" s="4" t="s">
        <v>4</v>
      </c>
      <c r="C23" s="2" t="s">
        <v>5</v>
      </c>
    </row>
    <row r="24" customHeight="1" spans="1:3">
      <c r="A24" s="5">
        <v>6370.2</v>
      </c>
      <c r="B24" s="4" t="s">
        <v>50</v>
      </c>
      <c r="C24" s="2"/>
    </row>
    <row r="25" customHeight="1" spans="1:3">
      <c r="A25" s="5">
        <v>1789.99</v>
      </c>
      <c r="B25" s="4" t="s">
        <v>51</v>
      </c>
      <c r="C25" s="2"/>
    </row>
    <row r="26" customHeight="1" spans="1:3">
      <c r="A26" s="5">
        <v>0</v>
      </c>
      <c r="B26" s="4" t="s">
        <v>52</v>
      </c>
      <c r="C26" s="2"/>
    </row>
    <row r="27" customHeight="1" spans="1:3">
      <c r="A27" s="5">
        <v>16451.39</v>
      </c>
      <c r="B27" s="4" t="s">
        <v>53</v>
      </c>
      <c r="C27" s="2"/>
    </row>
    <row r="28" customHeight="1" spans="1:3">
      <c r="A28" s="5">
        <v>11352.59</v>
      </c>
      <c r="B28" s="4" t="s">
        <v>54</v>
      </c>
      <c r="C28" s="2"/>
    </row>
    <row r="31" customHeight="1" spans="1:3">
      <c r="A31" s="3" t="s">
        <v>55</v>
      </c>
      <c r="B31" s="6">
        <f>SUM(成本明细表_6[成本明细])</f>
        <v>42012.81</v>
      </c>
      <c r="C31" s="7"/>
    </row>
    <row r="32" customHeight="1" spans="1:3">
      <c r="A32" s="3" t="s">
        <v>56</v>
      </c>
      <c r="B32" s="6">
        <f>SUM(营业额明细表_5[营业额明细])</f>
        <v>35964.17</v>
      </c>
      <c r="C32" s="8"/>
    </row>
    <row r="33" customHeight="1" spans="1:3">
      <c r="A33" s="3" t="s">
        <v>57</v>
      </c>
      <c r="C33" s="8"/>
    </row>
    <row r="35" customHeight="1" spans="1:1">
      <c r="A35" t="s">
        <v>58</v>
      </c>
    </row>
  </sheetData>
  <dataValidations count="2">
    <dataValidation type="list" allowBlank="1" showInputMessage="1" showErrorMessage="1" sqref="B16:B19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6"/>
  <sheetViews>
    <sheetView workbookViewId="0">
      <selection activeCell="B14" sqref="B1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43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44</v>
      </c>
    </row>
    <row r="3" customHeight="1" spans="1:3">
      <c r="A3" s="1">
        <v>18000</v>
      </c>
      <c r="B3" s="2" t="s">
        <v>45</v>
      </c>
      <c r="C3" s="2" t="s">
        <v>59</v>
      </c>
    </row>
    <row r="4" customHeight="1" spans="1:3">
      <c r="A4" s="1">
        <v>9240</v>
      </c>
      <c r="B4" s="2" t="s">
        <v>25</v>
      </c>
      <c r="C4" s="2" t="s">
        <v>60</v>
      </c>
    </row>
    <row r="5" customHeight="1" spans="1:3">
      <c r="A5" s="3"/>
      <c r="B5" s="4"/>
      <c r="C5" s="2"/>
    </row>
    <row r="6" customHeight="1" spans="1:3">
      <c r="A6" s="3" t="s">
        <v>49</v>
      </c>
      <c r="B6" s="4" t="s">
        <v>4</v>
      </c>
      <c r="C6" s="2" t="s">
        <v>5</v>
      </c>
    </row>
    <row r="7" customHeight="1" spans="1:3">
      <c r="A7" s="5">
        <v>0</v>
      </c>
      <c r="B7" s="4" t="s">
        <v>61</v>
      </c>
      <c r="C7" s="2"/>
    </row>
    <row r="8" customHeight="1" spans="1:3">
      <c r="A8" s="5">
        <v>0</v>
      </c>
      <c r="B8" s="4" t="s">
        <v>62</v>
      </c>
      <c r="C8" s="2"/>
    </row>
    <row r="9" customHeight="1" spans="1:3">
      <c r="A9" s="5">
        <v>0</v>
      </c>
      <c r="B9" s="4" t="s">
        <v>63</v>
      </c>
      <c r="C9" s="2"/>
    </row>
    <row r="10" customHeight="1" spans="1:3">
      <c r="A10" s="5">
        <v>0</v>
      </c>
      <c r="B10" s="4" t="s">
        <v>64</v>
      </c>
      <c r="C10" s="2"/>
    </row>
    <row r="13" customHeight="1" spans="1:3">
      <c r="A13" s="3" t="s">
        <v>55</v>
      </c>
      <c r="B13" s="6">
        <f>SUM(成本明细表[成本明细])</f>
        <v>31573</v>
      </c>
      <c r="C13" s="7"/>
    </row>
    <row r="14" customHeight="1" spans="1:3">
      <c r="A14" s="3" t="s">
        <v>56</v>
      </c>
      <c r="B14" s="6">
        <f>SUM(营业额明细表[营业额明细])</f>
        <v>0</v>
      </c>
      <c r="C14" s="8"/>
    </row>
    <row r="15" customHeight="1" spans="1:3">
      <c r="A15" s="3" t="s">
        <v>65</v>
      </c>
      <c r="C15" s="8"/>
    </row>
    <row r="16" customHeight="1" spans="1:1">
      <c r="A16" t="s">
        <v>66</v>
      </c>
    </row>
  </sheetData>
  <dataValidations count="1">
    <dataValidation type="list" allowBlank="1" showInputMessage="1" showErrorMessage="1" sqref="B4 B2:B3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流水-202602 (2)</vt:lpstr>
      <vt:lpstr>流水-202603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2026-02-03T03:28:00Z</dcterms:created>
  <dcterms:modified xsi:type="dcterms:W3CDTF">2026-02-26T15:46:24Z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