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973372E3-AD87-4924-A2FA-DB1589430361}" xr6:coauthVersionLast="47" xr6:coauthVersionMax="47" xr10:uidLastSave="{00000000-0000-0000-0000-000000000000}"/>
  <bookViews>
    <workbookView xWindow="5070" yWindow="5070" windowWidth="38700" windowHeight="15345" activeTab="2" xr2:uid="{00000000-000D-0000-FFFF-FFFF00000000}"/>
  </bookViews>
  <sheets>
    <sheet name="开店成本清单" sheetId="1" r:id="rId1"/>
    <sheet name="2026-02流水 " sheetId="3" r:id="rId2"/>
    <sheet name="2026-03流水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2" l="1"/>
  <c r="B28" i="2"/>
  <c r="B33" i="3"/>
  <c r="B32" i="3"/>
  <c r="C2" i="1"/>
  <c r="C3" i="1" s="1"/>
</calcChain>
</file>

<file path=xl/sharedStrings.xml><?xml version="1.0" encoding="utf-8"?>
<sst xmlns="http://schemas.openxmlformats.org/spreadsheetml/2006/main" count="179" uniqueCount="81">
  <si>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</si>
  <si>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</si>
  <si>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</si>
  <si>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</si>
  <si>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</si>
  <si>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</si>
  <si>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</si>
  <si>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</si>
  <si>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</si>
  <si>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</si>
  <si>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</si>
  <si>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</si>
  <si>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</si>
  <si>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</si>
  <si>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</si>
  <si>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</si>
  <si>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</si>
  <si>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</si>
  <si>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</si>
  <si>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</si>
  <si>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</si>
  <si>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</si>
  <si>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</si>
  <si>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</si>
  <si>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</si>
  <si>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</si>
  <si>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</si>
  <si>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</si>
  <si>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</si>
  <si>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</si>
  <si>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</si>
  <si>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</si>
  <si>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</si>
  <si>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</si>
  <si>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</si>
  <si>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</si>
  <si>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</si>
  <si>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</si>
  <si>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</si>
  <si>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</si>
  <si>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</si>
  <si>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</si>
  <si>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</si>
  <si>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</si>
  <si>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</si>
  <si>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</si>
  <si>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</si>
  <si>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</si>
  <si>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</si>
  <si>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</si>
  <si>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</si>
  <si>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</si>
  <si>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</si>
  <si>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</si>
  <si>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</si>
  <si>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</si>
  <si>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</si>
  <si>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</si>
  <si>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芋头小笼120斤*12，肉燕120斤*22.5，菜探长进货</t>
  </si>
  <si>
    <t>肉片300斤*8，高级肉片199斤*9，香菇小笼100斤*11，肉燕100斤*18，鸡翅320，运费455，硕美进货</t>
  </si>
  <si>
    <t>堂食</t>
  </si>
  <si>
    <t>京东</t>
  </si>
  <si>
    <t>淘宝</t>
  </si>
  <si>
    <t>美团</t>
  </si>
  <si>
    <t>毛利润</t>
  </si>
  <si>
    <t>净利润</t>
  </si>
  <si>
    <t>其他</t>
    <phoneticPr fontId="4" type="noConversion"/>
  </si>
  <si>
    <t>PE食品保鲜袋</t>
    <phoneticPr fontId="4" type="noConversion"/>
  </si>
  <si>
    <t>食材</t>
    <phoneticPr fontId="4" type="noConversion"/>
  </si>
  <si>
    <t>火鸡面补货</t>
    <phoneticPr fontId="4" type="noConversion"/>
  </si>
  <si>
    <t>食材</t>
    <phoneticPr fontId="4" type="noConversion"/>
  </si>
  <si>
    <t>1000圆打包盒1000个</t>
    <phoneticPr fontId="4" type="noConversion"/>
  </si>
  <si>
    <t>1250圆打包盒450个</t>
    <phoneticPr fontId="4" type="noConversion"/>
  </si>
  <si>
    <t>鸡翅10斤</t>
    <phoneticPr fontId="4" type="noConversion"/>
  </si>
  <si>
    <t>普福店调货补给老李（此处被老李算错账）</t>
    <phoneticPr fontId="4" type="noConversion"/>
  </si>
  <si>
    <t>美团外卖推广</t>
    <phoneticPr fontId="4" type="noConversion"/>
  </si>
  <si>
    <t>快驴充值</t>
    <phoneticPr fontId="4" type="noConversion"/>
  </si>
  <si>
    <t>员工工资</t>
    <phoneticPr fontId="4" type="noConversion"/>
  </si>
  <si>
    <t>食材调味粉</t>
    <phoneticPr fontId="4" type="noConversion"/>
  </si>
  <si>
    <t>外卖盒子临时补货</t>
    <phoneticPr fontId="4" type="noConversion"/>
  </si>
  <si>
    <t>火鸡面拼多多补货5箱共150袋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</si>
</sst>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宋体"/>
      <family val="3"/>
      <charset val="134"/>
      <scheme val="minor"/>
    </font>
    <font>
      <i/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4" fontId="3" fillId="0" borderId="0" xfId="0" applyNumberFormat="1" applyFont="1" applyAlignment="1">
      <alignment horizontal="left"/>
    </xf>
    <xf numFmtId="0" fontId="5" fillId="0" borderId="0" xfId="0" applyFont="1"/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177" formatCode="0.00_);[Red]\(0.00\)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#,##0.00_ 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</xdr:row>
      <xdr:rowOff>0</xdr:rowOff>
    </xdr:from>
    <xdr:to>
      <xdr:col>4</xdr:col>
      <xdr:colOff>133350</xdr:colOff>
      <xdr:row>57</xdr:row>
      <xdr:rowOff>9525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381500"/>
          <a:ext cx="9734550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8"/>
    <tableColumn id="2" xr3:uid="{00000000-0010-0000-0000-000002000000}" name="分类" dataDxfId="7"/>
    <tableColumn id="3" xr3:uid="{00000000-0010-0000-0000-000003000000}" name="说明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4:C29" totalsRowShown="0">
  <autoFilter ref="A24:C29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1:C20" totalsRowShown="0">
  <autoFilter ref="A1:C20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20:C24" totalsRowShown="0">
  <autoFilter ref="A20:C24" xr:uid="{00000000-0009-0000-0100-000002000000}"/>
  <tableColumns count="3">
    <tableColumn id="1" xr3:uid="{00000000-0010-0000-0300-000001000000}" name="营业额明细" dataDxfId="5"/>
    <tableColumn id="2" xr3:uid="{00000000-0010-0000-0300-000002000000}" name="分类" dataDxfId="4"/>
    <tableColumn id="3" xr3:uid="{00000000-0010-0000-0300-000003000000}" name="说明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1:C16" totalsRowShown="0">
  <autoFilter ref="A1:C16" xr:uid="{00000000-0009-0000-0100-000003000000}"/>
  <tableColumns count="3">
    <tableColumn id="2" xr3:uid="{00000000-0010-0000-0400-000002000000}" name="成本明细" dataDxfId="2"/>
    <tableColumn id="4" xr3:uid="{00000000-0010-0000-0400-000004000000}" name="分类" dataDxfId="1"/>
    <tableColumn id="1" xr3:uid="{00000000-0010-0000-0400-000001000000}" name="说明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workbookViewId="0">
      <selection activeCell="C43" sqref="C43"/>
    </sheetView>
  </sheetViews>
  <sheetFormatPr defaultColWidth="9" defaultRowHeight="13.5" x14ac:dyDescent="0.15"/>
  <cols>
    <col min="1" max="1" width="23.75" style="5" customWidth="1"/>
    <col min="2" max="2" width="20.375" customWidth="1"/>
    <col min="3" max="3" width="37.25" style="11" customWidth="1"/>
  </cols>
  <sheetData>
    <row r="1" spans="1:3" ht="15" customHeight="1" x14ac:dyDescent="0.15">
      <c r="A1" s="5" t="s">
        <v>0</v>
      </c>
      <c r="C1" s="9">
        <v>100000</v>
      </c>
    </row>
    <row r="2" spans="1:3" ht="15" customHeight="1" x14ac:dyDescent="0.15">
      <c r="A2" s="5" t="s">
        <v>1</v>
      </c>
      <c r="C2" s="10">
        <f>SUM(成本明细[金额(元)])</f>
        <v>99761.380000000019</v>
      </c>
    </row>
    <row r="3" spans="1:3" ht="15" customHeight="1" x14ac:dyDescent="0.15">
      <c r="A3" s="5" t="s">
        <v>2</v>
      </c>
      <c r="C3" s="10">
        <f>C1-C2</f>
        <v>238.61999999998079</v>
      </c>
    </row>
    <row r="4" spans="1:3" ht="15" customHeight="1" x14ac:dyDescent="0.15"/>
    <row r="5" spans="1:3" ht="15" customHeight="1" x14ac:dyDescent="0.15">
      <c r="A5" s="5" t="s">
        <v>3</v>
      </c>
      <c r="B5" s="6" t="s">
        <v>4</v>
      </c>
      <c r="C5" s="2" t="s">
        <v>5</v>
      </c>
    </row>
    <row r="6" spans="1:3" ht="15" customHeight="1" x14ac:dyDescent="0.15">
      <c r="A6" s="1">
        <v>10000</v>
      </c>
      <c r="B6" t="s">
        <v>6</v>
      </c>
      <c r="C6" s="2" t="s">
        <v>7</v>
      </c>
    </row>
    <row r="7" spans="1:3" ht="15" customHeight="1" x14ac:dyDescent="0.15">
      <c r="A7" s="1">
        <v>26000</v>
      </c>
      <c r="B7" t="s">
        <v>6</v>
      </c>
      <c r="C7" s="2" t="s">
        <v>8</v>
      </c>
    </row>
    <row r="8" spans="1:3" ht="15" customHeight="1" x14ac:dyDescent="0.15">
      <c r="A8" s="1">
        <v>6000</v>
      </c>
      <c r="B8" t="s">
        <v>9</v>
      </c>
      <c r="C8" s="2" t="s">
        <v>10</v>
      </c>
    </row>
    <row r="9" spans="1:3" ht="15" customHeight="1" x14ac:dyDescent="0.15">
      <c r="A9" s="1">
        <v>3000</v>
      </c>
      <c r="B9" t="s">
        <v>9</v>
      </c>
      <c r="C9" s="2" t="s">
        <v>11</v>
      </c>
    </row>
    <row r="10" spans="1:3" ht="15" customHeight="1" x14ac:dyDescent="0.15">
      <c r="A10" s="1">
        <v>2100</v>
      </c>
      <c r="B10" t="s">
        <v>9</v>
      </c>
      <c r="C10" s="2" t="s">
        <v>12</v>
      </c>
    </row>
    <row r="11" spans="1:3" ht="15" customHeight="1" x14ac:dyDescent="0.15">
      <c r="A11" s="1">
        <v>340</v>
      </c>
      <c r="B11" t="s">
        <v>9</v>
      </c>
      <c r="C11" s="2" t="s">
        <v>13</v>
      </c>
    </row>
    <row r="12" spans="1:3" ht="15" customHeight="1" x14ac:dyDescent="0.15">
      <c r="A12" s="1">
        <v>200</v>
      </c>
      <c r="B12" t="s">
        <v>14</v>
      </c>
      <c r="C12" s="2" t="s">
        <v>15</v>
      </c>
    </row>
    <row r="13" spans="1:3" ht="15" customHeight="1" x14ac:dyDescent="0.15">
      <c r="A13" s="1">
        <v>11000</v>
      </c>
      <c r="B13" t="s">
        <v>16</v>
      </c>
      <c r="C13" s="2" t="s">
        <v>17</v>
      </c>
    </row>
    <row r="14" spans="1:3" ht="15" customHeight="1" x14ac:dyDescent="0.15">
      <c r="A14" s="1">
        <v>5000</v>
      </c>
      <c r="B14" t="s">
        <v>9</v>
      </c>
      <c r="C14" s="2" t="s">
        <v>18</v>
      </c>
    </row>
    <row r="15" spans="1:3" ht="15" customHeight="1" x14ac:dyDescent="0.15">
      <c r="A15" s="1">
        <v>755</v>
      </c>
      <c r="B15" t="s">
        <v>16</v>
      </c>
      <c r="C15" s="2" t="s">
        <v>19</v>
      </c>
    </row>
    <row r="16" spans="1:3" ht="15" customHeight="1" x14ac:dyDescent="0.15">
      <c r="A16" s="1">
        <v>190</v>
      </c>
      <c r="B16" t="s">
        <v>9</v>
      </c>
      <c r="C16" s="2" t="s">
        <v>20</v>
      </c>
    </row>
    <row r="17" spans="1:3" ht="15" customHeight="1" x14ac:dyDescent="0.15">
      <c r="A17" s="1">
        <v>405.9</v>
      </c>
      <c r="B17" t="s">
        <v>16</v>
      </c>
      <c r="C17" s="2" t="s">
        <v>21</v>
      </c>
    </row>
    <row r="18" spans="1:3" ht="15" customHeight="1" x14ac:dyDescent="0.15">
      <c r="A18" s="1">
        <v>228</v>
      </c>
      <c r="B18" t="s">
        <v>16</v>
      </c>
      <c r="C18" s="2" t="s">
        <v>22</v>
      </c>
    </row>
    <row r="19" spans="1:3" ht="15" customHeight="1" x14ac:dyDescent="0.15">
      <c r="A19" s="1">
        <v>639.5</v>
      </c>
      <c r="B19" t="s">
        <v>16</v>
      </c>
      <c r="C19" s="2" t="s">
        <v>23</v>
      </c>
    </row>
    <row r="20" spans="1:3" ht="15" customHeight="1" x14ac:dyDescent="0.15">
      <c r="A20" s="1">
        <v>1259.0999999999999</v>
      </c>
      <c r="B20" t="s">
        <v>16</v>
      </c>
      <c r="C20" s="2" t="s">
        <v>24</v>
      </c>
    </row>
    <row r="21" spans="1:3" ht="15" customHeight="1" x14ac:dyDescent="0.15">
      <c r="A21" s="1">
        <v>1000</v>
      </c>
      <c r="B21" t="s">
        <v>25</v>
      </c>
      <c r="C21" s="11" t="s">
        <v>26</v>
      </c>
    </row>
    <row r="22" spans="1:3" ht="15" customHeight="1" x14ac:dyDescent="0.15">
      <c r="A22" s="1">
        <v>13260</v>
      </c>
      <c r="B22" t="s">
        <v>25</v>
      </c>
      <c r="C22" s="2" t="s">
        <v>27</v>
      </c>
    </row>
    <row r="23" spans="1:3" ht="15" customHeight="1" x14ac:dyDescent="0.15">
      <c r="A23" s="1">
        <v>47.97</v>
      </c>
      <c r="B23" t="s">
        <v>14</v>
      </c>
      <c r="C23" s="2" t="s">
        <v>28</v>
      </c>
    </row>
    <row r="24" spans="1:3" ht="15" customHeight="1" x14ac:dyDescent="0.15">
      <c r="A24" s="1">
        <v>276.10000000000002</v>
      </c>
      <c r="B24" t="s">
        <v>14</v>
      </c>
      <c r="C24" s="2" t="s">
        <v>29</v>
      </c>
    </row>
    <row r="25" spans="1:3" ht="15" customHeight="1" x14ac:dyDescent="0.15">
      <c r="A25" s="1">
        <v>6000</v>
      </c>
      <c r="B25" t="s">
        <v>9</v>
      </c>
      <c r="C25" s="11" t="s">
        <v>30</v>
      </c>
    </row>
    <row r="26" spans="1:3" ht="15" customHeight="1" x14ac:dyDescent="0.15">
      <c r="A26" s="1">
        <v>640</v>
      </c>
      <c r="B26" t="s">
        <v>9</v>
      </c>
      <c r="C26" s="11" t="s">
        <v>31</v>
      </c>
    </row>
    <row r="27" spans="1:3" ht="15" customHeight="1" x14ac:dyDescent="0.15">
      <c r="A27" s="1">
        <v>500</v>
      </c>
      <c r="B27" t="s">
        <v>32</v>
      </c>
      <c r="C27" s="11" t="s">
        <v>33</v>
      </c>
    </row>
    <row r="28" spans="1:3" ht="15" customHeight="1" x14ac:dyDescent="0.15">
      <c r="A28" s="1">
        <v>600</v>
      </c>
      <c r="B28" t="s">
        <v>32</v>
      </c>
      <c r="C28" s="11" t="s">
        <v>34</v>
      </c>
    </row>
    <row r="29" spans="1:3" ht="15" customHeight="1" x14ac:dyDescent="0.15">
      <c r="A29" s="1">
        <v>938</v>
      </c>
      <c r="B29" t="s">
        <v>25</v>
      </c>
      <c r="C29" s="11" t="s">
        <v>35</v>
      </c>
    </row>
    <row r="30" spans="1:3" ht="15" customHeight="1" x14ac:dyDescent="0.15">
      <c r="A30" s="1">
        <v>1000</v>
      </c>
      <c r="B30" t="s">
        <v>25</v>
      </c>
      <c r="C30" s="11" t="s">
        <v>26</v>
      </c>
    </row>
    <row r="31" spans="1:3" ht="15" customHeight="1" x14ac:dyDescent="0.15">
      <c r="A31" s="1">
        <v>60.5</v>
      </c>
      <c r="B31" t="s">
        <v>25</v>
      </c>
      <c r="C31" s="11" t="s">
        <v>36</v>
      </c>
    </row>
    <row r="32" spans="1:3" ht="15" customHeight="1" x14ac:dyDescent="0.15">
      <c r="A32" s="1">
        <v>162.41</v>
      </c>
      <c r="B32" t="s">
        <v>37</v>
      </c>
      <c r="C32" s="11" t="s">
        <v>38</v>
      </c>
    </row>
    <row r="33" spans="1:3" ht="15" customHeight="1" x14ac:dyDescent="0.15">
      <c r="A33" s="1">
        <v>42.16</v>
      </c>
      <c r="B33" t="s">
        <v>25</v>
      </c>
      <c r="C33" s="11" t="s">
        <v>35</v>
      </c>
    </row>
    <row r="34" spans="1:3" ht="15" customHeight="1" x14ac:dyDescent="0.15">
      <c r="A34" s="1">
        <v>1000</v>
      </c>
      <c r="B34" t="s">
        <v>25</v>
      </c>
      <c r="C34" s="11" t="s">
        <v>26</v>
      </c>
    </row>
    <row r="35" spans="1:3" ht="15" customHeight="1" x14ac:dyDescent="0.15">
      <c r="A35" s="3">
        <v>500</v>
      </c>
      <c r="B35" s="12" t="s">
        <v>9</v>
      </c>
      <c r="C35" s="13" t="s">
        <v>39</v>
      </c>
    </row>
    <row r="36" spans="1:3" ht="15" customHeight="1" x14ac:dyDescent="0.15">
      <c r="A36" s="3">
        <v>1300</v>
      </c>
      <c r="B36" s="12" t="s">
        <v>25</v>
      </c>
      <c r="C36" s="13" t="s">
        <v>40</v>
      </c>
    </row>
    <row r="37" spans="1:3" ht="15" customHeight="1" x14ac:dyDescent="0.15">
      <c r="A37" s="3">
        <v>253.84</v>
      </c>
      <c r="B37" s="12" t="s">
        <v>25</v>
      </c>
      <c r="C37" s="13" t="s">
        <v>36</v>
      </c>
    </row>
    <row r="38" spans="1:3" ht="15" customHeight="1" x14ac:dyDescent="0.15">
      <c r="A38" s="3">
        <v>1000</v>
      </c>
      <c r="B38" s="12" t="s">
        <v>25</v>
      </c>
      <c r="C38" s="13" t="s">
        <v>26</v>
      </c>
    </row>
    <row r="39" spans="1:3" ht="15" customHeight="1" x14ac:dyDescent="0.15">
      <c r="A39" s="3">
        <v>355.3</v>
      </c>
      <c r="B39" s="12" t="s">
        <v>25</v>
      </c>
      <c r="C39" s="13" t="s">
        <v>36</v>
      </c>
    </row>
    <row r="40" spans="1:3" ht="15" customHeight="1" x14ac:dyDescent="0.15">
      <c r="A40" s="3">
        <v>3000</v>
      </c>
      <c r="B40" s="12" t="s">
        <v>25</v>
      </c>
      <c r="C40" s="13" t="s">
        <v>41</v>
      </c>
    </row>
    <row r="41" spans="1:3" ht="15" customHeight="1" x14ac:dyDescent="0.15">
      <c r="A41" s="3">
        <v>174</v>
      </c>
      <c r="B41" s="12" t="s">
        <v>25</v>
      </c>
      <c r="C41" s="13" t="s">
        <v>36</v>
      </c>
    </row>
    <row r="42" spans="1:3" ht="15" customHeight="1" x14ac:dyDescent="0.15">
      <c r="A42" s="3">
        <v>33.6</v>
      </c>
      <c r="B42" s="12" t="s">
        <v>14</v>
      </c>
      <c r="C42" s="13" t="s">
        <v>42</v>
      </c>
    </row>
    <row r="43" spans="1:3" ht="15" customHeight="1" x14ac:dyDescent="0.15">
      <c r="A43" s="3">
        <v>500</v>
      </c>
      <c r="B43" s="12" t="s">
        <v>25</v>
      </c>
      <c r="C43" s="13" t="s">
        <v>26</v>
      </c>
    </row>
  </sheetData>
  <phoneticPr fontId="4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6"/>
  <sheetViews>
    <sheetView workbookViewId="0">
      <selection activeCell="A20" sqref="A20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1" t="s">
        <v>43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44</v>
      </c>
    </row>
    <row r="3" spans="1:3" ht="15" customHeight="1" x14ac:dyDescent="0.15">
      <c r="A3" s="1">
        <v>12000</v>
      </c>
      <c r="B3" s="2" t="s">
        <v>45</v>
      </c>
      <c r="C3" s="2" t="s">
        <v>46</v>
      </c>
    </row>
    <row r="4" spans="1:3" ht="15" customHeight="1" x14ac:dyDescent="0.15">
      <c r="A4" s="1">
        <v>1000</v>
      </c>
      <c r="B4" s="2" t="s">
        <v>25</v>
      </c>
      <c r="C4" s="2" t="s">
        <v>26</v>
      </c>
    </row>
    <row r="5" spans="1:3" ht="15" customHeight="1" x14ac:dyDescent="0.15">
      <c r="A5" s="1">
        <v>13260</v>
      </c>
      <c r="B5" s="2" t="s">
        <v>25</v>
      </c>
      <c r="C5" s="2" t="s">
        <v>27</v>
      </c>
    </row>
    <row r="6" spans="1:3" ht="15" customHeight="1" x14ac:dyDescent="0.15">
      <c r="A6" s="1">
        <v>600</v>
      </c>
      <c r="B6" s="2" t="s">
        <v>32</v>
      </c>
      <c r="C6" s="2" t="s">
        <v>34</v>
      </c>
    </row>
    <row r="7" spans="1:3" ht="15" customHeight="1" x14ac:dyDescent="0.15">
      <c r="A7" s="1">
        <v>938</v>
      </c>
      <c r="B7" s="2" t="s">
        <v>25</v>
      </c>
      <c r="C7" s="2" t="s">
        <v>35</v>
      </c>
    </row>
    <row r="8" spans="1:3" ht="15" customHeight="1" x14ac:dyDescent="0.15">
      <c r="A8" s="1">
        <v>1000</v>
      </c>
      <c r="B8" s="2" t="s">
        <v>25</v>
      </c>
      <c r="C8" s="2" t="s">
        <v>26</v>
      </c>
    </row>
    <row r="9" spans="1:3" ht="15" customHeight="1" x14ac:dyDescent="0.15">
      <c r="A9" s="1">
        <v>60.5</v>
      </c>
      <c r="B9" s="2" t="s">
        <v>25</v>
      </c>
      <c r="C9" s="2" t="s">
        <v>36</v>
      </c>
    </row>
    <row r="10" spans="1:3" ht="15" customHeight="1" x14ac:dyDescent="0.15">
      <c r="A10" s="1">
        <v>162.41</v>
      </c>
      <c r="B10" s="2" t="s">
        <v>37</v>
      </c>
      <c r="C10" s="2" t="s">
        <v>38</v>
      </c>
    </row>
    <row r="11" spans="1:3" ht="15" customHeight="1" x14ac:dyDescent="0.15">
      <c r="A11" s="1">
        <v>42.16</v>
      </c>
      <c r="B11" s="2" t="s">
        <v>25</v>
      </c>
      <c r="C11" s="2" t="s">
        <v>35</v>
      </c>
    </row>
    <row r="12" spans="1:3" ht="15" customHeight="1" x14ac:dyDescent="0.15">
      <c r="A12" s="1">
        <v>1000</v>
      </c>
      <c r="B12" s="2" t="s">
        <v>25</v>
      </c>
      <c r="C12" s="2" t="s">
        <v>26</v>
      </c>
    </row>
    <row r="13" spans="1:3" ht="15" customHeight="1" x14ac:dyDescent="0.15">
      <c r="A13" s="3">
        <v>1300</v>
      </c>
      <c r="B13" s="4" t="s">
        <v>25</v>
      </c>
      <c r="C13" s="4" t="s">
        <v>47</v>
      </c>
    </row>
    <row r="14" spans="1:3" ht="15" customHeight="1" x14ac:dyDescent="0.15">
      <c r="A14" s="3">
        <v>253.84</v>
      </c>
      <c r="B14" s="4" t="s">
        <v>25</v>
      </c>
      <c r="C14" s="4" t="s">
        <v>36</v>
      </c>
    </row>
    <row r="15" spans="1:3" ht="15" customHeight="1" x14ac:dyDescent="0.15">
      <c r="A15" s="3">
        <v>1000</v>
      </c>
      <c r="B15" s="4" t="s">
        <v>25</v>
      </c>
      <c r="C15" s="2" t="s">
        <v>26</v>
      </c>
    </row>
    <row r="16" spans="1:3" ht="15" customHeight="1" x14ac:dyDescent="0.15">
      <c r="A16" s="3">
        <v>355.3</v>
      </c>
      <c r="B16" s="4" t="s">
        <v>25</v>
      </c>
      <c r="C16" s="4" t="s">
        <v>36</v>
      </c>
    </row>
    <row r="17" spans="1:3" ht="15" customHeight="1" x14ac:dyDescent="0.15">
      <c r="A17" s="3">
        <v>3000</v>
      </c>
      <c r="B17" s="4" t="s">
        <v>25</v>
      </c>
      <c r="C17" s="4" t="s">
        <v>41</v>
      </c>
    </row>
    <row r="18" spans="1:3" ht="15" customHeight="1" x14ac:dyDescent="0.15">
      <c r="A18" s="3">
        <v>174</v>
      </c>
      <c r="B18" s="4" t="s">
        <v>25</v>
      </c>
      <c r="C18" s="4" t="s">
        <v>36</v>
      </c>
    </row>
    <row r="19" spans="1:3" ht="15" customHeight="1" x14ac:dyDescent="0.15">
      <c r="A19" s="3">
        <v>33.6</v>
      </c>
      <c r="B19" s="4" t="s">
        <v>14</v>
      </c>
      <c r="C19" s="4" t="s">
        <v>42</v>
      </c>
    </row>
    <row r="20" spans="1:3" ht="15" customHeight="1" x14ac:dyDescent="0.15">
      <c r="A20" s="3">
        <v>500</v>
      </c>
      <c r="B20" s="4" t="s">
        <v>25</v>
      </c>
      <c r="C20" s="4" t="s">
        <v>26</v>
      </c>
    </row>
    <row r="21" spans="1:3" ht="15" customHeight="1" x14ac:dyDescent="0.15">
      <c r="A21" s="5"/>
      <c r="B21" s="6"/>
      <c r="C21" s="2"/>
    </row>
    <row r="22" spans="1:3" ht="15" customHeight="1" x14ac:dyDescent="0.15">
      <c r="A22" s="5"/>
      <c r="B22" s="6"/>
      <c r="C22" s="2"/>
    </row>
    <row r="23" spans="1:3" ht="15" customHeight="1" x14ac:dyDescent="0.15">
      <c r="A23" s="5"/>
      <c r="B23" s="6"/>
      <c r="C23" s="2"/>
    </row>
    <row r="24" spans="1:3" ht="15" customHeight="1" x14ac:dyDescent="0.15">
      <c r="A24" s="5" t="s">
        <v>48</v>
      </c>
      <c r="B24" s="6" t="s">
        <v>4</v>
      </c>
      <c r="C24" s="2" t="s">
        <v>5</v>
      </c>
    </row>
    <row r="25" spans="1:3" ht="15" customHeight="1" x14ac:dyDescent="0.15">
      <c r="A25" s="7">
        <v>6683.96</v>
      </c>
      <c r="B25" s="6" t="s">
        <v>49</v>
      </c>
      <c r="C25" s="2"/>
    </row>
    <row r="26" spans="1:3" ht="15" customHeight="1" x14ac:dyDescent="0.15">
      <c r="A26" s="7">
        <v>1861.8</v>
      </c>
      <c r="B26" s="6" t="s">
        <v>50</v>
      </c>
      <c r="C26" s="2"/>
    </row>
    <row r="27" spans="1:3" ht="15" customHeight="1" x14ac:dyDescent="0.15">
      <c r="A27" s="7">
        <v>0</v>
      </c>
      <c r="B27" s="6" t="s">
        <v>51</v>
      </c>
      <c r="C27" s="2"/>
    </row>
    <row r="28" spans="1:3" ht="15" customHeight="1" x14ac:dyDescent="0.15">
      <c r="A28" s="7">
        <v>19919.099999999999</v>
      </c>
      <c r="B28" s="6" t="s">
        <v>52</v>
      </c>
      <c r="C28" s="2"/>
    </row>
    <row r="29" spans="1:3" ht="15" customHeight="1" x14ac:dyDescent="0.15">
      <c r="A29" s="7">
        <v>13970.88</v>
      </c>
      <c r="B29" s="6" t="s">
        <v>53</v>
      </c>
      <c r="C29" s="2"/>
    </row>
    <row r="32" spans="1:3" ht="15" customHeight="1" x14ac:dyDescent="0.15">
      <c r="A32" s="5" t="s">
        <v>54</v>
      </c>
      <c r="B32" s="8">
        <f>SUM(成本明细表_6[成本明细])</f>
        <v>41012.810000000005</v>
      </c>
      <c r="C32" s="9"/>
    </row>
    <row r="33" spans="1:3" ht="15" customHeight="1" x14ac:dyDescent="0.15">
      <c r="A33" s="5" t="s">
        <v>55</v>
      </c>
      <c r="B33" s="8">
        <f>SUM(营业额明细表_5[营业额明细])</f>
        <v>42435.74</v>
      </c>
      <c r="C33" s="10"/>
    </row>
    <row r="34" spans="1:3" ht="15" customHeight="1" x14ac:dyDescent="0.15">
      <c r="A34" s="5" t="s">
        <v>56</v>
      </c>
      <c r="C34" s="10"/>
    </row>
    <row r="36" spans="1:3" ht="15" customHeight="1" x14ac:dyDescent="0.15">
      <c r="A36" t="s">
        <v>57</v>
      </c>
    </row>
  </sheetData>
  <phoneticPr fontId="4" type="noConversion"/>
  <dataValidations count="2">
    <dataValidation type="list" allowBlank="1" showInputMessage="1" showErrorMessage="1" sqref="B16:B19" xr:uid="{00000000-0002-0000-0100-000000000000}">
      <formula1>"房租,装修,其他,设备,食材,推广,水电"</formula1>
    </dataValidation>
    <dataValidation type="list" allowBlank="1" showInputMessage="1" showErrorMessage="1" sqref="B2:B15" xr:uid="{00000000-0002-0000-0100-000001000000}">
      <formula1>"房租,其他,食材,推广,水电,工资"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30"/>
  <sheetViews>
    <sheetView tabSelected="1" workbookViewId="0">
      <selection activeCell="A18" sqref="A18:XFD18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16" t="s">
        <v>43</v>
      </c>
      <c r="B1" s="2" t="s">
        <v>4</v>
      </c>
      <c r="C1" s="2" t="s">
        <v>5</v>
      </c>
    </row>
    <row r="2" spans="1:3" ht="15" customHeight="1" x14ac:dyDescent="0.15">
      <c r="A2" s="16">
        <v>4333</v>
      </c>
      <c r="B2" s="2" t="s">
        <v>6</v>
      </c>
      <c r="C2" s="2" t="s">
        <v>44</v>
      </c>
    </row>
    <row r="3" spans="1:3" ht="15" customHeight="1" x14ac:dyDescent="0.15">
      <c r="A3" s="16">
        <v>18000</v>
      </c>
      <c r="B3" s="2" t="s">
        <v>45</v>
      </c>
      <c r="C3" s="17" t="s">
        <v>77</v>
      </c>
    </row>
    <row r="4" spans="1:3" ht="15" customHeight="1" x14ac:dyDescent="0.15">
      <c r="A4" s="16">
        <v>4140</v>
      </c>
      <c r="B4" s="2" t="s">
        <v>25</v>
      </c>
      <c r="C4" s="2" t="s">
        <v>58</v>
      </c>
    </row>
    <row r="5" spans="1:3" ht="15" customHeight="1" x14ac:dyDescent="0.15">
      <c r="A5" s="16">
        <v>7866</v>
      </c>
      <c r="B5" s="4" t="s">
        <v>25</v>
      </c>
      <c r="C5" s="4" t="s">
        <v>59</v>
      </c>
    </row>
    <row r="6" spans="1:3" ht="15" customHeight="1" x14ac:dyDescent="0.15">
      <c r="A6" s="16">
        <v>28.64</v>
      </c>
      <c r="B6" s="14" t="s">
        <v>66</v>
      </c>
      <c r="C6" s="14" t="s">
        <v>67</v>
      </c>
    </row>
    <row r="7" spans="1:3" ht="15" customHeight="1" x14ac:dyDescent="0.15">
      <c r="A7" s="16">
        <v>44.48</v>
      </c>
      <c r="B7" s="14" t="s">
        <v>68</v>
      </c>
      <c r="C7" s="14" t="s">
        <v>69</v>
      </c>
    </row>
    <row r="8" spans="1:3" ht="15" customHeight="1" x14ac:dyDescent="0.15">
      <c r="A8" s="16">
        <v>3000</v>
      </c>
      <c r="B8" s="4" t="s">
        <v>70</v>
      </c>
      <c r="C8" s="4" t="s">
        <v>76</v>
      </c>
    </row>
    <row r="9" spans="1:3" ht="15" customHeight="1" x14ac:dyDescent="0.15">
      <c r="A9" s="16">
        <v>23</v>
      </c>
      <c r="B9" s="4" t="s">
        <v>70</v>
      </c>
      <c r="C9" s="4" t="s">
        <v>78</v>
      </c>
    </row>
    <row r="10" spans="1:3" ht="15" customHeight="1" x14ac:dyDescent="0.15">
      <c r="A10" s="16">
        <v>234</v>
      </c>
      <c r="B10" s="4" t="s">
        <v>25</v>
      </c>
      <c r="C10" s="4" t="s">
        <v>71</v>
      </c>
    </row>
    <row r="11" spans="1:3" ht="15" customHeight="1" x14ac:dyDescent="0.15">
      <c r="A11" s="16">
        <v>385</v>
      </c>
      <c r="B11" s="4" t="s">
        <v>25</v>
      </c>
      <c r="C11" s="4" t="s">
        <v>72</v>
      </c>
    </row>
    <row r="12" spans="1:3" s="15" customFormat="1" ht="15" customHeight="1" x14ac:dyDescent="0.15">
      <c r="A12" s="16">
        <v>295</v>
      </c>
      <c r="B12" s="4" t="s">
        <v>25</v>
      </c>
      <c r="C12" s="4" t="s">
        <v>73</v>
      </c>
    </row>
    <row r="13" spans="1:3" s="15" customFormat="1" ht="15" customHeight="1" x14ac:dyDescent="0.15">
      <c r="A13" s="16">
        <v>718</v>
      </c>
      <c r="B13" s="4" t="s">
        <v>25</v>
      </c>
      <c r="C13" s="4" t="s">
        <v>74</v>
      </c>
    </row>
    <row r="14" spans="1:3" s="15" customFormat="1" ht="15" customHeight="1" x14ac:dyDescent="0.15">
      <c r="A14" s="16">
        <v>57.6</v>
      </c>
      <c r="B14" s="4" t="s">
        <v>25</v>
      </c>
      <c r="C14" s="4" t="s">
        <v>79</v>
      </c>
    </row>
    <row r="15" spans="1:3" ht="15" customHeight="1" x14ac:dyDescent="0.15">
      <c r="A15" s="16">
        <v>302.5</v>
      </c>
      <c r="B15" s="4" t="s">
        <v>25</v>
      </c>
      <c r="C15" s="4" t="s">
        <v>80</v>
      </c>
    </row>
    <row r="16" spans="1:3" ht="15" customHeight="1" x14ac:dyDescent="0.15">
      <c r="A16" s="16">
        <v>1000</v>
      </c>
      <c r="B16" s="4" t="s">
        <v>32</v>
      </c>
      <c r="C16" s="4" t="s">
        <v>75</v>
      </c>
    </row>
    <row r="17" spans="1:3" ht="15" customHeight="1" x14ac:dyDescent="0.15">
      <c r="A17" s="16"/>
      <c r="B17" s="4"/>
      <c r="C17" s="4"/>
    </row>
    <row r="18" spans="1:3" ht="15" customHeight="1" x14ac:dyDescent="0.15">
      <c r="A18" s="16"/>
      <c r="B18" s="4"/>
      <c r="C18" s="4"/>
    </row>
    <row r="19" spans="1:3" ht="15" customHeight="1" x14ac:dyDescent="0.15">
      <c r="A19" s="5"/>
      <c r="B19" s="6"/>
      <c r="C19" s="2"/>
    </row>
    <row r="20" spans="1:3" ht="15" customHeight="1" x14ac:dyDescent="0.15">
      <c r="A20" s="5" t="s">
        <v>48</v>
      </c>
      <c r="B20" s="6" t="s">
        <v>4</v>
      </c>
      <c r="C20" s="2" t="s">
        <v>5</v>
      </c>
    </row>
    <row r="21" spans="1:3" ht="15" customHeight="1" x14ac:dyDescent="0.15">
      <c r="A21" s="7">
        <v>0</v>
      </c>
      <c r="B21" s="6" t="s">
        <v>60</v>
      </c>
      <c r="C21" s="2"/>
    </row>
    <row r="22" spans="1:3" ht="15" customHeight="1" x14ac:dyDescent="0.15">
      <c r="A22" s="7">
        <v>0</v>
      </c>
      <c r="B22" s="6" t="s">
        <v>61</v>
      </c>
      <c r="C22" s="2"/>
    </row>
    <row r="23" spans="1:3" ht="15" customHeight="1" x14ac:dyDescent="0.15">
      <c r="A23" s="7">
        <v>0</v>
      </c>
      <c r="B23" s="6" t="s">
        <v>62</v>
      </c>
      <c r="C23" s="2"/>
    </row>
    <row r="24" spans="1:3" ht="15" customHeight="1" x14ac:dyDescent="0.15">
      <c r="A24" s="7">
        <v>0</v>
      </c>
      <c r="B24" s="6" t="s">
        <v>63</v>
      </c>
      <c r="C24" s="2"/>
    </row>
    <row r="27" spans="1:3" ht="15" customHeight="1" x14ac:dyDescent="0.15">
      <c r="A27" s="5" t="s">
        <v>54</v>
      </c>
      <c r="B27" s="8">
        <f>SUM(成本明细表[成本明细])</f>
        <v>40427.22</v>
      </c>
      <c r="C27" s="9"/>
    </row>
    <row r="28" spans="1:3" ht="15" customHeight="1" x14ac:dyDescent="0.15">
      <c r="A28" s="5" t="s">
        <v>55</v>
      </c>
      <c r="B28" s="8">
        <f>SUM(营业额明细表[营业额明细])</f>
        <v>0</v>
      </c>
      <c r="C28" s="10"/>
    </row>
    <row r="29" spans="1:3" ht="15" customHeight="1" x14ac:dyDescent="0.15">
      <c r="A29" s="5" t="s">
        <v>64</v>
      </c>
      <c r="C29" s="10"/>
    </row>
    <row r="30" spans="1:3" ht="15" customHeight="1" x14ac:dyDescent="0.15">
      <c r="A30" t="s">
        <v>65</v>
      </c>
    </row>
  </sheetData>
  <phoneticPr fontId="4" type="noConversion"/>
  <dataValidations count="1">
    <dataValidation type="list" allowBlank="1" showInputMessage="1" showErrorMessage="1" sqref="B2:B18" xr:uid="{00000000-0002-0000-0200-000000000000}">
      <formula1>"房租,其他,食材,推广,水电,工资"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2026-02-03T19:28:00Z</dcterms:created>
  <dcterms:modified xsi:type="dcterms:W3CDTF">2026-03-01T13:11:11Z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