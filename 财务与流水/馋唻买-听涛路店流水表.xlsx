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tabRatio="723" firstSheet="1" activeTab="5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<sst xmlns="http://schemas.openxmlformats.org/spreadsheetml/2006/main" count="799" uniqueCount="197">
  <si>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</si>
  <si>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</si>
  <si>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</si>
  <si>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</si>
  <si>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</si>
  <si>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</si>
  <si>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</si>
  <si>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</si>
  <si>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</si>
  <si>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</si>
  <si>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</si>
  <si>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</si>
  <si>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</si>
  <si>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</si>
  <si>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</si>
  <si>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</si>
  <si>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</si>
  <si>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</si>
  <si>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</si>
  <si>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</si>
  <si>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</si>
  <si>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</si>
  <si>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</si>
  <si>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</si>
  <si>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</si>
  <si>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</si>
  <si>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</si>
  <si>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</si>
  <si>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</si>
  <si>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</si>
  <si>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</si>
  <si>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</si>
  <si>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</si>
  <si>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</si>
  <si>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</si>
  <si>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</si>
  <si>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</si>
  <si>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</si>
  <si>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</si>
  <si>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</si>
  <si>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</si>
  <si>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</si>
  <si>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</si>
  <si>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</si>
  <si>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</si>
  <si>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</si>
  <si>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</si>
  <si>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</si>
  <si>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</si>
  <si>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</si>
  <si>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</si>
  <si>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</si>
  <si>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</si>
  <si>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</si>
  <si>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</si>
  <si>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</si>
  <si>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</si>
  <si>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</si>
  <si>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</si>
  <si>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</si>
  <si>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</si>
  <si>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</si>
  <si>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</si>
  <si>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</si>
  <si>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</si>
  <si>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</si>
  <si>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</si>
  <si>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</si>
  <si>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</si>
  <si>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</si>
  <si>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</si>
  <si>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</si>
  <si>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</si>
  <si>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</si>
  <si>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</si>
  <si>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</si>
  <si>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</si>
  <si>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</si>
  <si>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</si>
  <si>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</si>
  <si>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</si>
  <si>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</si>
  <si>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</si>
  <si>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</si>
  <si>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</si>
  <si>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</si>
  <si>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</si>
  <si>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</si>
  <si>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</si>
  <si>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</si>
  <si>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</si>
  <si>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</si>
  <si>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</si>
  <si>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</si>
  <si>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</si>
  <si>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</si>
  <si>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</si>
  <si>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</si>
  <si>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</si>
  <si>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</si>
  <si>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</si>
  <si>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</si>
  <si>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</si>
  <si>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</si>
  <si>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</si>
  <si>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</si>
  <si>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</si>
  <si>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</si>
  <si>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</si>
  <si>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</si>
  <si>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</si>
  <si>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</si>
  <si>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</si>
  <si>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</si>
  <si>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</si>
  <si>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</si>
  <si>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</si>
  <si>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</si>
  <si>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</si>
  <si>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</si>
  <si>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</si>
  <si>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</si>
  <si>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</si>
  <si>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</si>
  <si>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</si>
  <si>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</si>
  <si>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</si>
  <si>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</si>
  <si>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</si>
  <si>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</si>
  <si>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</si>
  <si>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</si>
  <si>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</si>
  <si>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</si>
  <si>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</si>
  <si>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</si>
  <si>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</si>
  <si>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</si>
  <si>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</si>
  <si>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</si>
  <si>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</si>
  <si>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</si>
  <si>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</si>
  <si>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</si>
  <si>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</si>
  <si>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</si>
  <si>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</si>
  <si>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</si>
  <si>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</si>
  <si>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</si>
  <si>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</si>
  <si>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</si>
  <si>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</si>
  <si>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</si>
  <si>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</si>
  <si>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</si>
  <si>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</si>
  <si>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</si>
  <si>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</si>
  <si>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</si>
  <si>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</si>
  <si>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</si>
  <si>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</si>
  <si>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</si>
  <si>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</si>
  <si>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</si>
  <si>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</si>
  <si>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</si>
  <si>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</si>
  <si>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</si>
  <si>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</si>
  <si>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</si>
  <si>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</si>
  <si>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</si>
  <si>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</si>
  <si>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</si>
  <si>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</si>
  <si>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</si>
  <si>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</si>
  <si>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</si>
  <si>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</si>
  <si>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</si>
  <si>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</si>
  <si>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</si>
  <si>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</si>
  <si>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</si>
  <si>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</si>
  <si>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</si>
  <si>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</si>
  <si>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</si>
  <si>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</si>
  <si>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</si>
  <si>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</si>
  <si>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</si>
  <si>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</si>
  <si>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</si>
  <si>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肉片第一次进货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</si>
</sst>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178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1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25" fillId="41" borderId="13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24" fillId="21" borderId="13" applyNumberFormat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3" fillId="29" borderId="12" applyNumberFormat="0" applyAlignment="0" applyProtection="0">
      <alignment vertical="center"/>
    </xf>
    <xf numFmtId="0" fontId="18" fillId="21" borderId="10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4" fontId="5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7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5">
  <autoFilter ref="A43:C7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8" customWidth="1"/>
    <col min="2" max="2" width="30.6634615384615" style="79" customWidth="1"/>
    <col min="3" max="3" width="30.6634615384615" style="80" customWidth="1"/>
    <col min="4" max="4" width="30.6634615384615" style="79" customWidth="1"/>
    <col min="5" max="16384" width="30.663461538461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8" customWidth="1"/>
    <col min="3" max="3" width="30.6634615384615" style="49" customWidth="1"/>
    <col min="4" max="4" width="30.6634615384615" style="48" customWidth="1"/>
    <col min="5" max="16384" width="30.663461538461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SUM(B13:B17)</f>
        <v>50429.93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5"/>
  <sheetViews>
    <sheetView tabSelected="1" topLeftCell="A38" workbookViewId="0">
      <selection activeCell="A54" sqref="A5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37532.49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39816.83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18591.06</v>
      </c>
      <c r="C5" s="15" t="s">
        <v>49</v>
      </c>
    </row>
    <row r="6" customHeight="1" spans="1:3">
      <c r="A6" s="13" t="s">
        <v>52</v>
      </c>
      <c r="B6" s="14">
        <f>$B$3-$B$4</f>
        <v>-2284.34</v>
      </c>
      <c r="C6" s="15" t="s">
        <v>49</v>
      </c>
    </row>
    <row r="7" customHeight="1" spans="1:3">
      <c r="A7" s="13" t="s">
        <v>53</v>
      </c>
      <c r="B7" s="16">
        <f>$B$5/$B$3</f>
        <v>0.495332443970544</v>
      </c>
      <c r="C7" s="15" t="s">
        <v>54</v>
      </c>
    </row>
    <row r="8" customHeight="1" spans="1:3">
      <c r="A8" s="13" t="s">
        <v>55</v>
      </c>
      <c r="B8" s="16">
        <f>$B$6/$B$3</f>
        <v>-0.0608630016287223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10910.2</v>
      </c>
      <c r="C13" s="16">
        <f>$B$13/$B$3</f>
        <v>0.290686815609622</v>
      </c>
    </row>
    <row r="14" customHeight="1" spans="1:3">
      <c r="A14" s="13" t="s">
        <v>61</v>
      </c>
      <c r="B14" s="14">
        <f>SUMIF(收入明细260410_12[分类],"美团外卖",收入明细260410_12[收入明细])</f>
        <v>14311.97</v>
      </c>
      <c r="C14" s="16">
        <f>$B$14/$B$3</f>
        <v>0.381322155817533</v>
      </c>
    </row>
    <row r="15" customHeight="1" spans="1:3">
      <c r="A15" s="13" t="s">
        <v>135</v>
      </c>
      <c r="B15" s="14">
        <f>SUMIF(收入明细260410_12[分类],"抖音来客",收入明细260410_12[收入明细])</f>
        <v>19.3</v>
      </c>
      <c r="C15" s="16">
        <f>$B$15/$B$3</f>
        <v>0.000514221145466235</v>
      </c>
    </row>
    <row r="16" customHeight="1" spans="1:3">
      <c r="A16" s="13" t="s">
        <v>62</v>
      </c>
      <c r="B16" s="14">
        <f>SUMIF(收入明细260410_12[分类],"微信堂食",收入明细260410_12[收入明细])</f>
        <v>5364.92</v>
      </c>
      <c r="C16" s="16">
        <f>$B$16/$B$3</f>
        <v>0.142940689519933</v>
      </c>
    </row>
    <row r="17" customHeight="1" spans="1:3">
      <c r="A17" s="13" t="s">
        <v>63</v>
      </c>
      <c r="B17" s="14">
        <f>SUMIF(收入明细260410_12[分类],"支付宝堂食",收入明细260410_12[收入明细])</f>
        <v>2808.1</v>
      </c>
      <c r="C17" s="16">
        <f>$B$17/$B$3</f>
        <v>0.0748178444862038</v>
      </c>
    </row>
    <row r="18" customHeight="1" spans="1:3">
      <c r="A18" s="13" t="s">
        <v>64</v>
      </c>
      <c r="B18" s="14">
        <f>SUMIF(收入明细260410_12[分类],"京东外卖",收入明细260410_12[收入明细])</f>
        <v>4118</v>
      </c>
      <c r="C18" s="16">
        <f>$B$18/$B$3</f>
        <v>0.109718273421241</v>
      </c>
    </row>
    <row r="19" customHeight="1" spans="1:3">
      <c r="A19" s="20" t="s">
        <v>65</v>
      </c>
      <c r="B19" s="21">
        <f>SUM(B13:B18)</f>
        <v>37532.49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18941.43</v>
      </c>
      <c r="C24" s="16">
        <f>$B$24/$B$4</f>
        <v>0.47571416408589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0.301380094799109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0.108823329230378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0.0337143866048603</v>
      </c>
    </row>
    <row r="28" customHeight="1" spans="1:3">
      <c r="A28" s="13" t="s">
        <v>37</v>
      </c>
      <c r="B28" s="14">
        <f>SUMIF(支出明细26049_11[分类],"水电",支出明细26049_11[支出明细])</f>
        <v>3000</v>
      </c>
      <c r="C28" s="16">
        <f>$B$28/$B$4</f>
        <v>0.0753450236997772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0.00502300157998515</v>
      </c>
    </row>
    <row r="30" customHeight="1" spans="1:3">
      <c r="A30" s="29" t="s">
        <v>65</v>
      </c>
      <c r="B30" s="30">
        <f>SUM(B24:B29)</f>
        <v>39816.83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5364.92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2808.1</v>
      </c>
      <c r="B36" s="32" t="s">
        <v>63</v>
      </c>
      <c r="C36" s="33"/>
    </row>
    <row r="37" customHeight="1" spans="1:3">
      <c r="A37" s="34">
        <v>4118</v>
      </c>
      <c r="B37" s="32" t="s">
        <v>64</v>
      </c>
      <c r="C37" s="33"/>
    </row>
    <row r="38" customHeight="1" spans="1:3">
      <c r="A38" s="34">
        <v>10910.2</v>
      </c>
      <c r="B38" s="32" t="s">
        <v>60</v>
      </c>
      <c r="C38" s="33"/>
    </row>
    <row r="39" customHeight="1" spans="1:3">
      <c r="A39" s="34">
        <v>14311.97</v>
      </c>
      <c r="B39" s="32" t="s">
        <v>61</v>
      </c>
      <c r="C39" s="33"/>
    </row>
    <row r="40" customHeight="1" spans="1:3">
      <c r="A40" s="1">
        <v>19.3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8" t="s">
        <v>160</v>
      </c>
    </row>
    <row r="46" customHeight="1" spans="1:3">
      <c r="A46" s="1">
        <v>3000</v>
      </c>
      <c r="B46" s="33" t="s">
        <v>37</v>
      </c>
      <c r="C46" s="38" t="s">
        <v>160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8" workbookViewId="0">
      <selection activeCell="A8" sqref="A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2026-03-04T19:28:00Z</dcterms:created>
  <dcterms:modified xsi:type="dcterms:W3CDTF">2026-06-29T10:57:58Z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