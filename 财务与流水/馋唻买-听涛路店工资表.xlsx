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7020"/>
  </bookViews>
  <sheets>
    <sheet name="工资绩效说明" sheetId="1" r:id="rId1"/>
    <sheet name="2月工资明细" sheetId="2" r:id="rId2"/>
  </sheets>
  <calcPr calcId="144525"/>
</workbook>
</file>

<file path=xl/sharedStrings.xml><?xml version="1.0" encoding="utf-8"?>
<sst xmlns="http://schemas.openxmlformats.org/spreadsheetml/2006/main" count="154" uniqueCount="96">
  <si>
    <t>员工工资绩效制度说明</t>
  </si>
  <si>
    <t>方案一(基础工资+绩效奖励)：</t>
  </si>
  <si>
    <t>基础工资</t>
  </si>
  <si>
    <t>职位</t>
  </si>
  <si>
    <t>月保底工资</t>
  </si>
  <si>
    <t>店长</t>
  </si>
  <si>
    <t>6500元</t>
  </si>
  <si>
    <t>员工</t>
  </si>
  <si>
    <t>5000元</t>
  </si>
  <si>
    <t>绩效奖励</t>
  </si>
  <si>
    <t>营业额区间</t>
  </si>
  <si>
    <t>每人奖励</t>
  </si>
  <si>
    <t>说明</t>
  </si>
  <si>
    <t>≥2000元</t>
  </si>
  <si>
    <t>10/天</t>
  </si>
  <si>
    <t>堂食+外卖平台总收入</t>
  </si>
  <si>
    <t>≥2500元</t>
  </si>
  <si>
    <t>20/天</t>
  </si>
  <si>
    <t>≥3000元</t>
  </si>
  <si>
    <t>30/天</t>
  </si>
  <si>
    <t>≥3500元</t>
  </si>
  <si>
    <t>40/天</t>
  </si>
  <si>
    <t>≥4000元</t>
  </si>
  <si>
    <t>50/天</t>
  </si>
  <si>
    <t>方案二(固定工资)：</t>
  </si>
  <si>
    <t>一、固定工资</t>
  </si>
  <si>
    <t>7000元</t>
  </si>
  <si>
    <t>5500元</t>
  </si>
  <si>
    <t>处罚规则(四月份开始试行)</t>
  </si>
  <si>
    <t>情形</t>
  </si>
  <si>
    <t>处罚金额</t>
  </si>
  <si>
    <t>差评/退单/退款（有责任人）</t>
  </si>
  <si>
    <t>-10元/次</t>
  </si>
  <si>
    <t>职责明确时，责任人承担</t>
  </si>
  <si>
    <t>差评/退单/退款（无法明确）</t>
  </si>
  <si>
    <t>平摊</t>
  </si>
  <si>
    <t>所有员工均分处罚</t>
  </si>
  <si>
    <t>请假</t>
  </si>
  <si>
    <t>-200元/天</t>
  </si>
  <si>
    <t>迟到/早退</t>
  </si>
  <si>
    <t>-25/小时</t>
  </si>
  <si>
    <t>工作时间安排</t>
  </si>
  <si>
    <t>工作时间</t>
  </si>
  <si>
    <t>员工A</t>
  </si>
  <si>
    <t>11:00-13:00 + 19:00-02:00</t>
  </si>
  <si>
    <t>9小时制</t>
  </si>
  <si>
    <t>员工B</t>
  </si>
  <si>
    <t>8:00-13:00 + 16:00-20:00</t>
  </si>
  <si>
    <t>员工C</t>
  </si>
  <si>
    <t>2026年2月份工资明细表</t>
  </si>
  <si>
    <t>月份：2026年2月</t>
  </si>
  <si>
    <t>员工工资汇总</t>
  </si>
  <si>
    <t>员工名称</t>
  </si>
  <si>
    <t>处罚扣款</t>
  </si>
  <si>
    <t>其他扣款</t>
  </si>
  <si>
    <t>实发工资</t>
  </si>
  <si>
    <t>2月未上满扣款</t>
  </si>
  <si>
    <t>绩效奖励明细（员工A）</t>
  </si>
  <si>
    <t>日期</t>
  </si>
  <si>
    <t>日营业额(元)</t>
  </si>
  <si>
    <t>绩效奖励(元)</t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</si>
  <si>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</si>
  <si>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</si>
  <si>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</si>
  <si>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</si>
  <si>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</si>
  <si>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</si>
  <si>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</si>
  <si>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</si>
  <si>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</si>
  <si>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</si>
  <si>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</si>
  <si>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</si>
  <si>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</si>
  <si>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</si>
  <si>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</si>
  <si>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</si>
  <si>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</si>
  <si>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</si>
  <si>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</si>
  <si>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</si>
  <si>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</si>
  <si>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</si>
  <si>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</si>
  <si>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</si>
  <si>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</si>
  <si>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</si>
  <si>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</si>
  <si>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</si>
  <si>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绩效总计</t>
  </si>
  <si>
    <t>绩效奖励明细（员工B）</t>
  </si>
  <si>
    <t>处罚明细</t>
  </si>
  <si>
    <t>类型</t>
  </si>
  <si>
    <t>责任人</t>
  </si>
  <si>
    <t>金额(元)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</si>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</sst>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b/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3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30" borderId="6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/>
    <xf numFmtId="0" fontId="8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A8" sqref="A8"/>
    </sheetView>
  </sheetViews>
  <sheetFormatPr defaultColWidth="9" defaultRowHeight="16.8" outlineLevelCol="3"/>
  <cols>
    <col min="1" max="1" width="35.4134615384615" customWidth="1"/>
    <col min="2" max="2" width="30" customWidth="1"/>
    <col min="3" max="3" width="35" customWidth="1"/>
  </cols>
  <sheetData>
    <row r="1" ht="23.2" spans="1:4">
      <c r="A1" s="9" t="s">
        <v>0</v>
      </c>
      <c r="B1" s="10"/>
      <c r="C1" s="10"/>
      <c r="D1" s="10"/>
    </row>
    <row r="2" ht="20.4" spans="1:1">
      <c r="A2" s="11"/>
    </row>
    <row r="3" ht="20.4" spans="1:1">
      <c r="A3" s="11" t="s">
        <v>1</v>
      </c>
    </row>
    <row r="4" spans="1:1">
      <c r="A4" s="3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t="s">
        <v>8</v>
      </c>
    </row>
    <row r="9" spans="1:1">
      <c r="A9" s="3" t="s">
        <v>9</v>
      </c>
    </row>
    <row r="10" spans="1:3">
      <c r="A10" s="12" t="s">
        <v>10</v>
      </c>
      <c r="B10" s="12" t="s">
        <v>11</v>
      </c>
      <c r="C10" s="12" t="s">
        <v>12</v>
      </c>
    </row>
    <row r="11" spans="1:3">
      <c r="A11" t="s">
        <v>13</v>
      </c>
      <c r="B11" t="s">
        <v>14</v>
      </c>
      <c r="C11" t="s">
        <v>15</v>
      </c>
    </row>
    <row r="12" spans="1:3">
      <c r="A12" t="s">
        <v>16</v>
      </c>
      <c r="B12" t="s">
        <v>17</v>
      </c>
      <c r="C12" t="s">
        <v>15</v>
      </c>
    </row>
    <row r="13" spans="1:3">
      <c r="A13" t="s">
        <v>18</v>
      </c>
      <c r="B13" t="s">
        <v>19</v>
      </c>
      <c r="C13" t="s">
        <v>15</v>
      </c>
    </row>
    <row r="14" spans="1:3">
      <c r="A14" t="s">
        <v>20</v>
      </c>
      <c r="B14" t="s">
        <v>21</v>
      </c>
      <c r="C14" t="s">
        <v>15</v>
      </c>
    </row>
    <row r="15" spans="1:3">
      <c r="A15" t="s">
        <v>22</v>
      </c>
      <c r="B15" t="s">
        <v>23</v>
      </c>
      <c r="C15" t="s">
        <v>15</v>
      </c>
    </row>
    <row r="18" customFormat="1" ht="20.4" spans="1:1">
      <c r="A18" s="11" t="s">
        <v>24</v>
      </c>
    </row>
    <row r="19" customFormat="1" spans="1:1">
      <c r="A19" s="3" t="s">
        <v>25</v>
      </c>
    </row>
    <row r="20" customFormat="1" spans="1:2">
      <c r="A20" t="s">
        <v>3</v>
      </c>
      <c r="B20" t="s">
        <v>4</v>
      </c>
    </row>
    <row r="21" customFormat="1" spans="1:2">
      <c r="A21" t="s">
        <v>5</v>
      </c>
      <c r="B21" t="s">
        <v>26</v>
      </c>
    </row>
    <row r="22" customFormat="1" spans="1:2">
      <c r="A22" t="s">
        <v>7</v>
      </c>
      <c r="B22" t="s">
        <v>27</v>
      </c>
    </row>
    <row r="23" spans="1:1">
      <c r="A23" s="3"/>
    </row>
    <row r="24" spans="1:1">
      <c r="A24" s="3"/>
    </row>
    <row r="25" ht="20.4" spans="1:1">
      <c r="A25" s="13" t="s">
        <v>28</v>
      </c>
    </row>
    <row r="26" spans="1:3">
      <c r="A26" s="12" t="s">
        <v>29</v>
      </c>
      <c r="B26" s="12" t="s">
        <v>30</v>
      </c>
      <c r="C26" s="12" t="s">
        <v>12</v>
      </c>
    </row>
    <row r="27" spans="1:3">
      <c r="A27" t="s">
        <v>31</v>
      </c>
      <c r="B27" t="s">
        <v>32</v>
      </c>
      <c r="C27" t="s">
        <v>33</v>
      </c>
    </row>
    <row r="28" spans="1:3">
      <c r="A28" t="s">
        <v>34</v>
      </c>
      <c r="B28" t="s">
        <v>35</v>
      </c>
      <c r="C28" t="s">
        <v>36</v>
      </c>
    </row>
    <row r="29" spans="1:2">
      <c r="A29" t="s">
        <v>37</v>
      </c>
      <c r="B29" s="14" t="s">
        <v>38</v>
      </c>
    </row>
    <row r="30" spans="1:2">
      <c r="A30" t="s">
        <v>39</v>
      </c>
      <c r="B30" s="14" t="s">
        <v>40</v>
      </c>
    </row>
    <row r="32" spans="1:1">
      <c r="A32" s="3"/>
    </row>
    <row r="33" ht="20.4" spans="1:1">
      <c r="A33" s="13" t="s">
        <v>41</v>
      </c>
    </row>
    <row r="34" spans="1:3">
      <c r="A34" s="7" t="s">
        <v>7</v>
      </c>
      <c r="B34" s="7" t="s">
        <v>42</v>
      </c>
      <c r="C34" s="7" t="s">
        <v>12</v>
      </c>
    </row>
    <row r="35" spans="1:3">
      <c r="A35" t="s">
        <v>43</v>
      </c>
      <c r="B35" t="s">
        <v>44</v>
      </c>
      <c r="C35" t="s">
        <v>45</v>
      </c>
    </row>
    <row r="36" spans="1:3">
      <c r="A36" t="s">
        <v>46</v>
      </c>
      <c r="B36" t="s">
        <v>47</v>
      </c>
      <c r="C36" t="s">
        <v>45</v>
      </c>
    </row>
    <row r="37" spans="1:3">
      <c r="A37" t="s">
        <v>48</v>
      </c>
      <c r="B37" t="s">
        <v>47</v>
      </c>
      <c r="C37" t="s">
        <v>45</v>
      </c>
    </row>
  </sheetData>
  <mergeCells count="2">
    <mergeCell ref="A1:D1"/>
    <mergeCell ref="B16:C1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workbookViewId="0">
      <selection activeCell="I14" sqref="I14"/>
    </sheetView>
  </sheetViews>
  <sheetFormatPr defaultColWidth="9" defaultRowHeight="16.8" outlineLevelCol="7"/>
  <cols>
    <col min="1" max="2" width="18" customWidth="1"/>
    <col min="3" max="7" width="15" customWidth="1"/>
    <col min="8" max="8" width="29.4807692307692" customWidth="1"/>
  </cols>
  <sheetData>
    <row r="1" ht="17.6" spans="1:1">
      <c r="A1" s="2" t="s">
        <v>49</v>
      </c>
    </row>
    <row r="2" spans="1:1">
      <c r="A2" t="s">
        <v>50</v>
      </c>
    </row>
    <row r="4" spans="1:1">
      <c r="A4" s="3" t="s">
        <v>51</v>
      </c>
    </row>
    <row r="5" s="1" customFormat="1" spans="1:8">
      <c r="A5" s="4" t="s">
        <v>52</v>
      </c>
      <c r="B5" s="4" t="s">
        <v>3</v>
      </c>
      <c r="C5" s="4" t="s">
        <v>2</v>
      </c>
      <c r="D5" s="4" t="s">
        <v>9</v>
      </c>
      <c r="E5" s="4" t="s">
        <v>53</v>
      </c>
      <c r="F5" s="4" t="s">
        <v>54</v>
      </c>
      <c r="G5" s="4" t="s">
        <v>55</v>
      </c>
      <c r="H5" s="4" t="s">
        <v>12</v>
      </c>
    </row>
    <row r="6" s="1" customFormat="1" spans="1:8">
      <c r="A6" s="1" t="s">
        <v>43</v>
      </c>
      <c r="B6" s="1" t="s">
        <v>5</v>
      </c>
      <c r="C6" s="1">
        <v>7000</v>
      </c>
      <c r="D6" s="1">
        <f>C39</f>
        <v>0</v>
      </c>
      <c r="F6" s="1">
        <v>1000</v>
      </c>
      <c r="G6" s="1">
        <f>C6+D6-E6-F6</f>
        <v>6000</v>
      </c>
      <c r="H6" s="1" t="s">
        <v>56</v>
      </c>
    </row>
    <row r="7" s="1" customFormat="1" spans="1:8">
      <c r="A7" s="1" t="s">
        <v>46</v>
      </c>
      <c r="B7" s="1" t="s">
        <v>7</v>
      </c>
      <c r="C7" s="1">
        <v>5000</v>
      </c>
      <c r="D7" s="1">
        <f>C71</f>
        <v>0</v>
      </c>
      <c r="F7" s="1">
        <v>1000</v>
      </c>
      <c r="G7" s="1">
        <f>C7+D7-E7-F7</f>
        <v>4000</v>
      </c>
      <c r="H7" s="1" t="s">
        <v>56</v>
      </c>
    </row>
    <row r="9" spans="1:1">
      <c r="A9" s="5" t="s">
        <v>57</v>
      </c>
    </row>
    <row r="10" spans="1:3">
      <c r="A10" s="6" t="s">
        <v>58</v>
      </c>
      <c r="B10" s="6" t="s">
        <v>59</v>
      </c>
      <c r="C10" s="6" t="s">
        <v>60</v>
      </c>
    </row>
    <row r="11" spans="1:3">
      <c r="A11" t="s">
        <v>61</v>
      </c>
      <c r="C11">
        <f t="shared" ref="C11:C38" si="0">IF(B11&gt;=3500,50,IF(B11&gt;=3000,30,IF(B11&gt;=2500,10,0)))</f>
        <v>0</v>
      </c>
    </row>
    <row r="12" spans="1:3">
      <c r="A12" t="s">
        <v>62</v>
      </c>
      <c r="C12">
        <f t="shared" si="0"/>
        <v>0</v>
      </c>
    </row>
    <row r="13" spans="1:3">
      <c r="A13" t="s">
        <v>63</v>
      </c>
      <c r="C13">
        <f t="shared" si="0"/>
        <v>0</v>
      </c>
    </row>
    <row r="14" spans="1:3">
      <c r="A14" t="s">
        <v>64</v>
      </c>
      <c r="C14">
        <f t="shared" si="0"/>
        <v>0</v>
      </c>
    </row>
    <row r="15" spans="1:3">
      <c r="A15" t="s">
        <v>65</v>
      </c>
      <c r="C15">
        <f t="shared" si="0"/>
        <v>0</v>
      </c>
    </row>
    <row r="16" spans="1:3">
      <c r="A16" t="s">
        <v>66</v>
      </c>
      <c r="C16">
        <f t="shared" si="0"/>
        <v>0</v>
      </c>
    </row>
    <row r="17" spans="1:3">
      <c r="A17" t="s">
        <v>67</v>
      </c>
      <c r="C17">
        <f t="shared" si="0"/>
        <v>0</v>
      </c>
    </row>
    <row r="18" spans="1:3">
      <c r="A18" t="s">
        <v>68</v>
      </c>
      <c r="C18">
        <f t="shared" si="0"/>
        <v>0</v>
      </c>
    </row>
    <row r="19" spans="1:3">
      <c r="A19" t="s">
        <v>69</v>
      </c>
      <c r="C19">
        <f t="shared" si="0"/>
        <v>0</v>
      </c>
    </row>
    <row r="20" spans="1:3">
      <c r="A20" t="s">
        <v>70</v>
      </c>
      <c r="C20">
        <f t="shared" si="0"/>
        <v>0</v>
      </c>
    </row>
    <row r="21" spans="1:3">
      <c r="A21" t="s">
        <v>71</v>
      </c>
      <c r="C21">
        <f t="shared" si="0"/>
        <v>0</v>
      </c>
    </row>
    <row r="22" spans="1:3">
      <c r="A22" t="s">
        <v>72</v>
      </c>
      <c r="C22">
        <f t="shared" si="0"/>
        <v>0</v>
      </c>
    </row>
    <row r="23" spans="1:3">
      <c r="A23" t="s">
        <v>73</v>
      </c>
      <c r="C23">
        <f t="shared" si="0"/>
        <v>0</v>
      </c>
    </row>
    <row r="24" spans="1:3">
      <c r="A24" t="s">
        <v>74</v>
      </c>
      <c r="C24">
        <f t="shared" si="0"/>
        <v>0</v>
      </c>
    </row>
    <row r="25" spans="1:3">
      <c r="A25" t="s">
        <v>75</v>
      </c>
      <c r="C25">
        <f t="shared" si="0"/>
        <v>0</v>
      </c>
    </row>
    <row r="26" spans="1:3">
      <c r="A26" t="s">
        <v>76</v>
      </c>
      <c r="C26">
        <f t="shared" si="0"/>
        <v>0</v>
      </c>
    </row>
    <row r="27" spans="1:3">
      <c r="A27" t="s">
        <v>77</v>
      </c>
      <c r="C27">
        <f t="shared" si="0"/>
        <v>0</v>
      </c>
    </row>
    <row r="28" spans="1:3">
      <c r="A28" t="s">
        <v>78</v>
      </c>
      <c r="C28">
        <f t="shared" si="0"/>
        <v>0</v>
      </c>
    </row>
    <row r="29" spans="1:3">
      <c r="A29" t="s">
        <v>79</v>
      </c>
      <c r="C29">
        <f t="shared" si="0"/>
        <v>0</v>
      </c>
    </row>
    <row r="30" spans="1:3">
      <c r="A30" t="s">
        <v>80</v>
      </c>
      <c r="C30">
        <f t="shared" si="0"/>
        <v>0</v>
      </c>
    </row>
    <row r="31" spans="1:3">
      <c r="A31" t="s">
        <v>81</v>
      </c>
      <c r="C31">
        <f t="shared" si="0"/>
        <v>0</v>
      </c>
    </row>
    <row r="32" spans="1:3">
      <c r="A32" t="s">
        <v>82</v>
      </c>
      <c r="C32">
        <f t="shared" si="0"/>
        <v>0</v>
      </c>
    </row>
    <row r="33" spans="1:3">
      <c r="A33" t="s">
        <v>83</v>
      </c>
      <c r="C33">
        <f t="shared" si="0"/>
        <v>0</v>
      </c>
    </row>
    <row r="34" spans="1:3">
      <c r="A34" t="s">
        <v>84</v>
      </c>
      <c r="C34">
        <f t="shared" si="0"/>
        <v>0</v>
      </c>
    </row>
    <row r="35" spans="1:3">
      <c r="A35" t="s">
        <v>85</v>
      </c>
      <c r="C35">
        <f t="shared" si="0"/>
        <v>0</v>
      </c>
    </row>
    <row r="36" spans="1:3">
      <c r="A36" t="s">
        <v>86</v>
      </c>
      <c r="C36">
        <f t="shared" si="0"/>
        <v>0</v>
      </c>
    </row>
    <row r="37" spans="1:3">
      <c r="A37" t="s">
        <v>87</v>
      </c>
      <c r="C37">
        <f t="shared" si="0"/>
        <v>0</v>
      </c>
    </row>
    <row r="38" spans="1:3">
      <c r="A38" t="s">
        <v>88</v>
      </c>
      <c r="C38">
        <f t="shared" si="0"/>
        <v>0</v>
      </c>
    </row>
    <row r="39" spans="1:3">
      <c r="A39" s="3" t="s">
        <v>89</v>
      </c>
      <c r="C39" s="3">
        <f>SUM(C11:C38)</f>
        <v>0</v>
      </c>
    </row>
    <row r="41" spans="1:1">
      <c r="A41" s="5" t="s">
        <v>90</v>
      </c>
    </row>
    <row r="42" spans="1:8">
      <c r="A42" s="7" t="s">
        <v>58</v>
      </c>
      <c r="B42" s="7" t="s">
        <v>59</v>
      </c>
      <c r="C42" s="7" t="s">
        <v>60</v>
      </c>
      <c r="H42" s="7" t="s">
        <v>59</v>
      </c>
    </row>
    <row r="43" spans="1:3">
      <c r="A43" t="s">
        <v>61</v>
      </c>
      <c r="C43">
        <f t="shared" ref="C43:C70" si="1">IF(B43&gt;=3500,50,IF(B43&gt;=3000,30,IF(B43&gt;=2500,10,0)))</f>
        <v>0</v>
      </c>
    </row>
    <row r="44" spans="1:3">
      <c r="A44" t="s">
        <v>62</v>
      </c>
      <c r="C44">
        <f t="shared" si="1"/>
        <v>0</v>
      </c>
    </row>
    <row r="45" spans="1:3">
      <c r="A45" t="s">
        <v>63</v>
      </c>
      <c r="C45">
        <f t="shared" si="1"/>
        <v>0</v>
      </c>
    </row>
    <row r="46" spans="1:3">
      <c r="A46" t="s">
        <v>64</v>
      </c>
      <c r="C46">
        <f t="shared" si="1"/>
        <v>0</v>
      </c>
    </row>
    <row r="47" spans="1:3">
      <c r="A47" t="s">
        <v>65</v>
      </c>
      <c r="C47">
        <f t="shared" si="1"/>
        <v>0</v>
      </c>
    </row>
    <row r="48" spans="1:3">
      <c r="A48" t="s">
        <v>66</v>
      </c>
      <c r="C48">
        <f t="shared" si="1"/>
        <v>0</v>
      </c>
    </row>
    <row r="49" spans="1:3">
      <c r="A49" t="s">
        <v>67</v>
      </c>
      <c r="C49">
        <f t="shared" si="1"/>
        <v>0</v>
      </c>
    </row>
    <row r="50" spans="1:3">
      <c r="A50" t="s">
        <v>68</v>
      </c>
      <c r="C50">
        <f t="shared" si="1"/>
        <v>0</v>
      </c>
    </row>
    <row r="51" spans="1:3">
      <c r="A51" t="s">
        <v>69</v>
      </c>
      <c r="C51">
        <f t="shared" si="1"/>
        <v>0</v>
      </c>
    </row>
    <row r="52" spans="1:3">
      <c r="A52" t="s">
        <v>70</v>
      </c>
      <c r="C52">
        <f t="shared" si="1"/>
        <v>0</v>
      </c>
    </row>
    <row r="53" spans="1:3">
      <c r="A53" t="s">
        <v>71</v>
      </c>
      <c r="C53">
        <f t="shared" si="1"/>
        <v>0</v>
      </c>
    </row>
    <row r="54" spans="1:3">
      <c r="A54" t="s">
        <v>72</v>
      </c>
      <c r="C54">
        <f t="shared" si="1"/>
        <v>0</v>
      </c>
    </row>
    <row r="55" spans="1:3">
      <c r="A55" t="s">
        <v>73</v>
      </c>
      <c r="C55">
        <f t="shared" si="1"/>
        <v>0</v>
      </c>
    </row>
    <row r="56" spans="1:3">
      <c r="A56" t="s">
        <v>74</v>
      </c>
      <c r="C56">
        <f t="shared" si="1"/>
        <v>0</v>
      </c>
    </row>
    <row r="57" spans="1:3">
      <c r="A57" t="s">
        <v>75</v>
      </c>
      <c r="C57">
        <f t="shared" si="1"/>
        <v>0</v>
      </c>
    </row>
    <row r="58" spans="1:3">
      <c r="A58" t="s">
        <v>76</v>
      </c>
      <c r="C58">
        <f t="shared" si="1"/>
        <v>0</v>
      </c>
    </row>
    <row r="59" spans="1:3">
      <c r="A59" t="s">
        <v>77</v>
      </c>
      <c r="C59">
        <f t="shared" si="1"/>
        <v>0</v>
      </c>
    </row>
    <row r="60" spans="1:3">
      <c r="A60" t="s">
        <v>78</v>
      </c>
      <c r="C60">
        <f t="shared" si="1"/>
        <v>0</v>
      </c>
    </row>
    <row r="61" spans="1:3">
      <c r="A61" t="s">
        <v>79</v>
      </c>
      <c r="C61">
        <f t="shared" si="1"/>
        <v>0</v>
      </c>
    </row>
    <row r="62" spans="1:3">
      <c r="A62" t="s">
        <v>80</v>
      </c>
      <c r="C62">
        <f t="shared" si="1"/>
        <v>0</v>
      </c>
    </row>
    <row r="63" spans="1:3">
      <c r="A63" t="s">
        <v>81</v>
      </c>
      <c r="C63">
        <f t="shared" si="1"/>
        <v>0</v>
      </c>
    </row>
    <row r="64" spans="1:3">
      <c r="A64" t="s">
        <v>82</v>
      </c>
      <c r="C64">
        <f t="shared" si="1"/>
        <v>0</v>
      </c>
    </row>
    <row r="65" spans="1:3">
      <c r="A65" t="s">
        <v>83</v>
      </c>
      <c r="C65">
        <f t="shared" si="1"/>
        <v>0</v>
      </c>
    </row>
    <row r="66" spans="1:3">
      <c r="A66" t="s">
        <v>84</v>
      </c>
      <c r="C66">
        <f t="shared" si="1"/>
        <v>0</v>
      </c>
    </row>
    <row r="67" spans="1:3">
      <c r="A67" t="s">
        <v>85</v>
      </c>
      <c r="C67">
        <f t="shared" si="1"/>
        <v>0</v>
      </c>
    </row>
    <row r="68" spans="1:3">
      <c r="A68" t="s">
        <v>86</v>
      </c>
      <c r="C68">
        <f t="shared" si="1"/>
        <v>0</v>
      </c>
    </row>
    <row r="69" spans="1:3">
      <c r="A69" t="s">
        <v>87</v>
      </c>
      <c r="C69">
        <f t="shared" si="1"/>
        <v>0</v>
      </c>
    </row>
    <row r="70" spans="1:3">
      <c r="A70" t="s">
        <v>88</v>
      </c>
      <c r="C70">
        <f t="shared" si="1"/>
        <v>0</v>
      </c>
    </row>
    <row r="71" spans="1:3">
      <c r="A71" s="3" t="s">
        <v>89</v>
      </c>
      <c r="C71" s="3">
        <f>SUM(C43:C70)</f>
        <v>0</v>
      </c>
    </row>
    <row r="73" spans="1:1">
      <c r="A73" s="5" t="s">
        <v>91</v>
      </c>
    </row>
    <row r="74" spans="1:8">
      <c r="A74" s="8" t="s">
        <v>58</v>
      </c>
      <c r="B74" s="8" t="s">
        <v>92</v>
      </c>
      <c r="C74" s="8" t="s">
        <v>93</v>
      </c>
      <c r="D74" s="8" t="s">
        <v>94</v>
      </c>
      <c r="E74" s="8" t="s">
        <v>95</v>
      </c>
      <c r="H74" s="8" t="s">
        <v>92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工资绩效说明</vt:lpstr>
      <vt:lpstr>2月工资明细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yalla</cp:lastModifiedBy>
  <dcterms:created xsi:type="dcterms:W3CDTF">2026-02-12T15:57:00Z</dcterms:created>
  <dcterms:modified xsi:type="dcterms:W3CDTF">2026-02-25T11:08:46Z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2052-5.1.0.7912</vt:lpwstr>
  </property>
</Properties>
</file>