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Work\Github\ChanWeiMai\财务与流水\"/>
    </mc:Choice>
  </mc:AlternateContent>
  <xr:revisionPtr revIDLastSave="0" documentId="13_ncr:1_{B0DCDB54-0E49-4247-A5C9-79FFD87B8620}" xr6:coauthVersionLast="47" xr6:coauthVersionMax="47" xr10:uidLastSave="{00000000-0000-0000-0000-000000000000}"/>
  <bookViews>
    <workbookView xWindow="7785" yWindow="2070" windowWidth="38700" windowHeight="15345" xr2:uid="{00000000-000D-0000-FFFF-FFFF00000000}"/>
  </bookViews>
  <sheets>
    <sheet name="开店成本清单" sheetId="1" r:id="rId1"/>
    <sheet name="202602" sheetId="2" r:id="rId2"/>
    <sheet name="20260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 s="1"/>
</calcChain>
</file>

<file path=xl/sharedStrings.xml><?xml version="1.0" encoding="utf-8"?>
<sst xmlns="http://schemas.openxmlformats.org/spreadsheetml/2006/main" count="56" uniqueCount="41">
  <si>
    <t>总预算(元)</t>
  </si>
  <si>
    <t>实际总花费(元)</t>
  </si>
  <si>
    <t>余额(元)</t>
  </si>
  <si>
    <t>金额(元)</t>
  </si>
  <si>
    <t>分类</t>
  </si>
  <si>
    <t>说明</t>
  </si>
  <si>
    <t>房租</t>
  </si>
  <si>
    <t>房租押金</t>
  </si>
  <si>
    <t>半年房租：年租金5.2万，半年付</t>
  </si>
  <si>
    <t>装修</t>
  </si>
  <si>
    <t>装修押金</t>
  </si>
  <si>
    <t>广告牌、灯牌费用</t>
  </si>
  <si>
    <t>物业水管改造</t>
  </si>
  <si>
    <t>隔壁改装水电</t>
  </si>
  <si>
    <t>其他</t>
  </si>
  <si>
    <t>外卖商品照片</t>
  </si>
  <si>
    <t>设备</t>
  </si>
  <si>
    <t>设备+零散材料</t>
  </si>
  <si>
    <t>装修水电进场</t>
  </si>
  <si>
    <t>桌椅首批</t>
  </si>
  <si>
    <t>门头设计</t>
  </si>
  <si>
    <t>小票打印机</t>
  </si>
  <si>
    <t>烤肠机</t>
  </si>
  <si>
    <t>油烟机</t>
  </si>
  <si>
    <t>小米手机</t>
  </si>
  <si>
    <t>食材</t>
  </si>
  <si>
    <t>快驴预充</t>
  </si>
  <si>
    <t>开店首批食材</t>
  </si>
  <si>
    <t>装修</t>
    <phoneticPr fontId="3" type="noConversion"/>
  </si>
  <si>
    <t>装修尾款</t>
    <phoneticPr fontId="3" type="noConversion"/>
  </si>
  <si>
    <t>外卖店铺装修</t>
    <phoneticPr fontId="3" type="noConversion"/>
  </si>
  <si>
    <t>其他</t>
    <phoneticPr fontId="3" type="noConversion"/>
  </si>
  <si>
    <t>扫码点餐物料</t>
    <phoneticPr fontId="3" type="noConversion"/>
  </si>
  <si>
    <t>成本</t>
    <phoneticPr fontId="3" type="noConversion"/>
  </si>
  <si>
    <t>利润</t>
    <phoneticPr fontId="3" type="noConversion"/>
  </si>
  <si>
    <t>营业额</t>
    <phoneticPr fontId="3" type="noConversion"/>
  </si>
  <si>
    <t>分类</t>
    <phoneticPr fontId="3" type="noConversion"/>
  </si>
  <si>
    <t>堂食</t>
    <phoneticPr fontId="3" type="noConversion"/>
  </si>
  <si>
    <t>京东</t>
    <phoneticPr fontId="3" type="noConversion"/>
  </si>
  <si>
    <t>淘宝</t>
    <phoneticPr fontId="3" type="noConversion"/>
  </si>
  <si>
    <t>美团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</si>
</sst>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4" fontId="0" fillId="0" borderId="0" xfId="0" applyNumberFormat="1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成本明细" displayName="成本明细" ref="A5:C26" totalsRowShown="0">
  <autoFilter ref="A5:C26" xr:uid="{00000000-0009-0000-0100-000001000000}"/>
  <tableColumns count="3">
    <tableColumn id="1" xr3:uid="{00000000-0010-0000-0000-000001000000}" name="金额(元)"/>
    <tableColumn id="2" xr3:uid="{00000000-0010-0000-0000-000002000000}" name="分类"/>
    <tableColumn id="3" xr3:uid="{00000000-0010-0000-0000-000003000000}" name="说明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59231-29C2-4D4F-8456-9275C3197370}" name="成本明细3" displayName="成本明细3" ref="A7:C11" totalsRowShown="0">
  <autoFilter ref="A7:C11" xr:uid="{19659231-29C2-4D4F-8456-9275C3197370}"/>
  <tableColumns count="3">
    <tableColumn id="1" xr3:uid="{5FFAC7E7-C550-4B79-9D1E-34F74804D903}" name="营业额"/>
    <tableColumn id="2" xr3:uid="{040FE7B2-A40B-4A8F-A639-F187A6E6331B}" name="分类"/>
    <tableColumn id="3" xr3:uid="{2DFC5D06-461C-4BD4-B594-13EA3BF933D9}" name="说明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5"/>
  <sheetViews>
    <sheetView tabSelected="1" workbookViewId="0">
      <selection activeCell="G15" sqref="G15"/>
    </sheetView>
  </sheetViews>
  <sheetFormatPr defaultRowHeight="13.5" x14ac:dyDescent="0.15"/>
  <cols>
    <col min="1" max="1" width="19.75" style="4" customWidth="1"/>
    <col min="2" max="2" width="60" bestFit="1" customWidth="1"/>
    <col min="3" max="3" width="37.25" style="5" bestFit="1" customWidth="1"/>
  </cols>
  <sheetData>
    <row r="1" spans="1:3" ht="20.25" customHeight="1" x14ac:dyDescent="0.25">
      <c r="A1" s="1" t="s">
        <v>0</v>
      </c>
      <c r="C1" s="2">
        <v>100000</v>
      </c>
    </row>
    <row r="2" spans="1:3" ht="20.25" customHeight="1" x14ac:dyDescent="0.25">
      <c r="A2" s="1" t="s">
        <v>1</v>
      </c>
      <c r="C2" s="3">
        <f>SUM(成本明细[金额(元)])</f>
        <v>88293.6</v>
      </c>
    </row>
    <row r="3" spans="1:3" ht="20.25" customHeight="1" x14ac:dyDescent="0.25">
      <c r="A3" s="1" t="s">
        <v>2</v>
      </c>
      <c r="C3" s="3">
        <f>C1-C2</f>
        <v>11706.399999999994</v>
      </c>
    </row>
    <row r="4" spans="1:3" ht="18.75" customHeight="1" x14ac:dyDescent="0.15"/>
    <row r="5" spans="1:3" ht="20.25" customHeight="1" x14ac:dyDescent="0.25">
      <c r="A5" s="1" t="s">
        <v>3</v>
      </c>
      <c r="B5" s="6" t="s">
        <v>4</v>
      </c>
      <c r="C5" s="7" t="s">
        <v>5</v>
      </c>
    </row>
    <row r="6" spans="1:3" ht="20.25" customHeight="1" x14ac:dyDescent="0.25">
      <c r="A6" s="1">
        <v>10000</v>
      </c>
      <c r="B6" s="6" t="s">
        <v>6</v>
      </c>
      <c r="C6" s="7" t="s">
        <v>7</v>
      </c>
    </row>
    <row r="7" spans="1:3" ht="20.25" customHeight="1" x14ac:dyDescent="0.25">
      <c r="A7" s="1">
        <v>26000</v>
      </c>
      <c r="B7" s="6" t="s">
        <v>6</v>
      </c>
      <c r="C7" s="7" t="s">
        <v>8</v>
      </c>
    </row>
    <row r="8" spans="1:3" ht="20.25" customHeight="1" x14ac:dyDescent="0.25">
      <c r="A8" s="1">
        <v>6000</v>
      </c>
      <c r="B8" s="6" t="s">
        <v>9</v>
      </c>
      <c r="C8" s="7" t="s">
        <v>10</v>
      </c>
    </row>
    <row r="9" spans="1:3" ht="20.25" customHeight="1" x14ac:dyDescent="0.25">
      <c r="A9" s="1">
        <v>3000</v>
      </c>
      <c r="B9" s="6" t="s">
        <v>9</v>
      </c>
      <c r="C9" s="7" t="s">
        <v>11</v>
      </c>
    </row>
    <row r="10" spans="1:3" ht="20.25" customHeight="1" x14ac:dyDescent="0.25">
      <c r="A10" s="1">
        <v>2100</v>
      </c>
      <c r="B10" s="6" t="s">
        <v>9</v>
      </c>
      <c r="C10" s="7" t="s">
        <v>12</v>
      </c>
    </row>
    <row r="11" spans="1:3" ht="20.25" customHeight="1" x14ac:dyDescent="0.25">
      <c r="A11" s="1">
        <v>340</v>
      </c>
      <c r="B11" s="6" t="s">
        <v>9</v>
      </c>
      <c r="C11" s="7" t="s">
        <v>13</v>
      </c>
    </row>
    <row r="12" spans="1:3" ht="20.25" customHeight="1" x14ac:dyDescent="0.25">
      <c r="A12" s="1">
        <v>200</v>
      </c>
      <c r="B12" s="6" t="s">
        <v>14</v>
      </c>
      <c r="C12" s="7" t="s">
        <v>15</v>
      </c>
    </row>
    <row r="13" spans="1:3" ht="20.25" customHeight="1" x14ac:dyDescent="0.25">
      <c r="A13" s="1">
        <v>11000</v>
      </c>
      <c r="B13" s="6" t="s">
        <v>16</v>
      </c>
      <c r="C13" s="7" t="s">
        <v>17</v>
      </c>
    </row>
    <row r="14" spans="1:3" ht="20.25" customHeight="1" x14ac:dyDescent="0.25">
      <c r="A14" s="1">
        <v>5000</v>
      </c>
      <c r="B14" s="6" t="s">
        <v>9</v>
      </c>
      <c r="C14" s="7" t="s">
        <v>18</v>
      </c>
    </row>
    <row r="15" spans="1:3" ht="20.25" customHeight="1" x14ac:dyDescent="0.25">
      <c r="A15" s="1">
        <v>755</v>
      </c>
      <c r="B15" s="6" t="s">
        <v>16</v>
      </c>
      <c r="C15" s="7" t="s">
        <v>19</v>
      </c>
    </row>
    <row r="16" spans="1:3" ht="20.25" customHeight="1" x14ac:dyDescent="0.25">
      <c r="A16" s="1">
        <v>190</v>
      </c>
      <c r="B16" s="6" t="s">
        <v>9</v>
      </c>
      <c r="C16" s="7" t="s">
        <v>20</v>
      </c>
    </row>
    <row r="17" spans="1:3" ht="20.25" customHeight="1" x14ac:dyDescent="0.25">
      <c r="A17" s="7">
        <v>405.9</v>
      </c>
      <c r="B17" s="6" t="s">
        <v>16</v>
      </c>
      <c r="C17" s="7" t="s">
        <v>21</v>
      </c>
    </row>
    <row r="18" spans="1:3" ht="20.25" customHeight="1" x14ac:dyDescent="0.25">
      <c r="A18" s="1">
        <v>228</v>
      </c>
      <c r="B18" s="6" t="s">
        <v>16</v>
      </c>
      <c r="C18" s="7" t="s">
        <v>22</v>
      </c>
    </row>
    <row r="19" spans="1:3" ht="20.25" customHeight="1" x14ac:dyDescent="0.25">
      <c r="A19" s="7">
        <v>639.5</v>
      </c>
      <c r="B19" s="6" t="s">
        <v>16</v>
      </c>
      <c r="C19" s="7" t="s">
        <v>23</v>
      </c>
    </row>
    <row r="20" spans="1:3" ht="20.25" customHeight="1" x14ac:dyDescent="0.25">
      <c r="A20" s="7">
        <v>1259.0999999999999</v>
      </c>
      <c r="B20" s="6" t="s">
        <v>16</v>
      </c>
      <c r="C20" s="7" t="s">
        <v>24</v>
      </c>
    </row>
    <row r="21" spans="1:3" ht="18.75" customHeight="1" x14ac:dyDescent="0.15">
      <c r="A21" s="4">
        <v>1000</v>
      </c>
      <c r="B21" t="s">
        <v>25</v>
      </c>
      <c r="C21" s="5" t="s">
        <v>26</v>
      </c>
    </row>
    <row r="22" spans="1:3" ht="20.25" customHeight="1" x14ac:dyDescent="0.25">
      <c r="A22" s="1">
        <v>13260</v>
      </c>
      <c r="B22" s="6" t="s">
        <v>25</v>
      </c>
      <c r="C22" s="7" t="s">
        <v>27</v>
      </c>
    </row>
    <row r="23" spans="1:3" ht="20.25" customHeight="1" x14ac:dyDescent="0.25">
      <c r="A23" s="1">
        <v>276.10000000000002</v>
      </c>
      <c r="B23" s="8" t="s">
        <v>31</v>
      </c>
      <c r="C23" s="9" t="s">
        <v>32</v>
      </c>
    </row>
    <row r="24" spans="1:3" x14ac:dyDescent="0.15">
      <c r="A24" s="4">
        <v>6000</v>
      </c>
      <c r="B24" t="s">
        <v>28</v>
      </c>
      <c r="C24" s="5" t="s">
        <v>29</v>
      </c>
    </row>
    <row r="25" spans="1:3" x14ac:dyDescent="0.15">
      <c r="A25" s="4">
        <v>640</v>
      </c>
      <c r="B25" t="s">
        <v>28</v>
      </c>
      <c r="C25" s="5" t="s">
        <v>30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1"/>
  <sheetViews>
    <sheetView workbookViewId="0">
      <selection activeCell="A15" sqref="A15"/>
    </sheetView>
  </sheetViews>
  <sheetFormatPr defaultRowHeight="13.5" x14ac:dyDescent="0.15"/>
  <cols>
    <col min="1" max="1" width="21.125" customWidth="1"/>
    <col min="2" max="2" width="19.75" customWidth="1"/>
    <col min="3" max="3" width="23.25" customWidth="1"/>
  </cols>
  <sheetData>
    <row r="1" spans="1:3" ht="15" x14ac:dyDescent="0.25">
      <c r="A1" s="10" t="s">
        <v>33</v>
      </c>
      <c r="C1" s="2"/>
    </row>
    <row r="2" spans="1:3" ht="16.5" x14ac:dyDescent="0.3">
      <c r="A2" s="11" t="s">
        <v>35</v>
      </c>
      <c r="C2" s="3"/>
    </row>
    <row r="3" spans="1:3" ht="16.5" x14ac:dyDescent="0.3">
      <c r="A3" s="11" t="s">
        <v>34</v>
      </c>
      <c r="C3" s="3"/>
    </row>
    <row r="7" spans="1:3" ht="16.5" x14ac:dyDescent="0.3">
      <c r="A7" s="10" t="s">
        <v>35</v>
      </c>
      <c r="B7" s="12" t="s">
        <v>36</v>
      </c>
      <c r="C7" s="7" t="s">
        <v>5</v>
      </c>
    </row>
    <row r="8" spans="1:3" ht="15" x14ac:dyDescent="0.25">
      <c r="A8" s="1"/>
      <c r="B8" s="8" t="s">
        <v>37</v>
      </c>
      <c r="C8" s="7"/>
    </row>
    <row r="9" spans="1:3" ht="15" x14ac:dyDescent="0.25">
      <c r="A9" s="1"/>
      <c r="B9" s="8" t="s">
        <v>38</v>
      </c>
      <c r="C9" s="7"/>
    </row>
    <row r="10" spans="1:3" ht="15" x14ac:dyDescent="0.25">
      <c r="A10" s="1"/>
      <c r="B10" s="8" t="s">
        <v>39</v>
      </c>
      <c r="C10" s="7"/>
    </row>
    <row r="11" spans="1:3" ht="15" x14ac:dyDescent="0.25">
      <c r="A11" s="1"/>
      <c r="B11" s="8" t="s">
        <v>40</v>
      </c>
      <c r="C11" s="7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开店成本清单</vt:lpstr>
      <vt:lpstr>202602</vt:lpstr>
      <vt:lpstr>202603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成川 李</cp:lastModifiedBy>
  <dcterms:created xsi:type="dcterms:W3CDTF">2026-01-29T11:28:38Z</dcterms:created>
  <dcterms:modified xsi:type="dcterms:W3CDTF">2026-01-31T11:37:43Z</dcterms:modified>
</cp:coreProperties>
</file>