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</sheets>
  <calcPr calcId="144525"/>
</workbook>
</file>

<file path=xl/sharedStrings.xml><?xml version="1.0" encoding="utf-8"?>
<sst xmlns="http://schemas.openxmlformats.org/spreadsheetml/2006/main" count="38" uniqueCount="27">
  <si>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</si>
  <si>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</si>
  <si>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</si>
  <si>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</si>
  <si>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</si>
  <si>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</si>
  <si>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</si>
  <si>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</si>
  <si>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</si>
  <si>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</si>
  <si>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</si>
  <si>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</si>
  <si>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</si>
  <si>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</si>
  <si>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</si>
  <si>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</si>
  <si>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</si>
  <si>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</si>
  <si>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</si>
  <si>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</si>
  <si>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</si>
  <si>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</si>
  <si>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</si>
  <si>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</si>
  <si>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</si>
  <si>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</si>
  <si>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开店首批食材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</si>
</sst>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28" borderId="0">
      <alignment vertical="center"/>
    </xf>
    <xf numFmtId="0" fontId="1" fillId="32" borderId="0">
      <alignment vertical="center"/>
    </xf>
    <xf numFmtId="0" fontId="3" fillId="25" borderId="0">
      <alignment vertical="center"/>
    </xf>
    <xf numFmtId="0" fontId="19" fillId="29" borderId="6">
      <alignment vertical="center"/>
    </xf>
    <xf numFmtId="0" fontId="1" fillId="27" borderId="0">
      <alignment vertical="center"/>
    </xf>
    <xf numFmtId="0" fontId="1" fillId="30" borderId="0">
      <alignment vertical="center"/>
    </xf>
    <xf numFmtId="44" fontId="0" fillId="0" borderId="0">
      <alignment vertical="center"/>
    </xf>
    <xf numFmtId="0" fontId="3" fillId="26" borderId="0">
      <alignment vertical="center"/>
    </xf>
    <xf numFmtId="9" fontId="0" fillId="0" borderId="0">
      <alignment vertical="center"/>
    </xf>
    <xf numFmtId="0" fontId="3" fillId="13" borderId="0">
      <alignment vertical="center"/>
    </xf>
    <xf numFmtId="0" fontId="3" fillId="8" borderId="0">
      <alignment vertical="center"/>
    </xf>
    <xf numFmtId="0" fontId="3" fillId="20" borderId="0">
      <alignment vertical="center"/>
    </xf>
    <xf numFmtId="0" fontId="3" fillId="16" borderId="0">
      <alignment vertical="center"/>
    </xf>
    <xf numFmtId="0" fontId="3" fillId="19" borderId="0">
      <alignment vertical="center"/>
    </xf>
    <xf numFmtId="0" fontId="14" fillId="14" borderId="6">
      <alignment vertical="center"/>
    </xf>
    <xf numFmtId="0" fontId="3" fillId="15" borderId="0">
      <alignment vertical="center"/>
    </xf>
    <xf numFmtId="0" fontId="7" fillId="9" borderId="0">
      <alignment vertical="center"/>
    </xf>
    <xf numFmtId="0" fontId="1" fillId="24" borderId="0">
      <alignment vertical="center"/>
    </xf>
    <xf numFmtId="0" fontId="13" fillId="18" borderId="0">
      <alignment vertical="center"/>
    </xf>
    <xf numFmtId="0" fontId="1" fillId="17" borderId="0">
      <alignment vertical="center"/>
    </xf>
    <xf numFmtId="0" fontId="8" fillId="0" borderId="2">
      <alignment vertical="center"/>
    </xf>
    <xf numFmtId="0" fontId="15" fillId="22" borderId="0">
      <alignment vertical="center"/>
    </xf>
    <xf numFmtId="0" fontId="10" fillId="11" borderId="4">
      <alignment vertical="center"/>
    </xf>
    <xf numFmtId="0" fontId="12" fillId="14" borderId="5">
      <alignment vertical="center"/>
    </xf>
    <xf numFmtId="0" fontId="9" fillId="0" borderId="3">
      <alignment vertical="center"/>
    </xf>
    <xf numFmtId="0" fontId="6" fillId="0" borderId="0">
      <alignment vertical="center"/>
    </xf>
    <xf numFmtId="0" fontId="1" fillId="7" borderId="0">
      <alignment vertical="center"/>
    </xf>
    <xf numFmtId="0" fontId="4" fillId="0" borderId="0">
      <alignment vertical="center"/>
    </xf>
    <xf numFmtId="42" fontId="0" fillId="0" borderId="0">
      <alignment vertical="center"/>
    </xf>
    <xf numFmtId="0" fontId="1" fillId="6" borderId="0">
      <alignment vertical="center"/>
    </xf>
    <xf numFmtId="43" fontId="0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" fillId="4" borderId="0">
      <alignment vertical="center"/>
    </xf>
    <xf numFmtId="0" fontId="17" fillId="0" borderId="0">
      <alignment vertical="center"/>
    </xf>
    <xf numFmtId="0" fontId="3" fillId="23" borderId="0">
      <alignment vertical="center"/>
    </xf>
    <xf numFmtId="0" fontId="0" fillId="21" borderId="7">
      <alignment vertical="center"/>
    </xf>
    <xf numFmtId="0" fontId="1" fillId="5" borderId="0">
      <alignment vertical="center"/>
    </xf>
    <xf numFmtId="0" fontId="3" fillId="3" borderId="0">
      <alignment vertical="center"/>
    </xf>
    <xf numFmtId="0" fontId="1" fillId="12" borderId="0">
      <alignment vertical="center"/>
    </xf>
    <xf numFmtId="0" fontId="2" fillId="0" borderId="0">
      <alignment vertical="center"/>
    </xf>
    <xf numFmtId="41" fontId="0" fillId="0" borderId="0">
      <alignment vertical="center"/>
    </xf>
    <xf numFmtId="0" fontId="16" fillId="0" borderId="3">
      <alignment vertical="center"/>
    </xf>
    <xf numFmtId="0" fontId="1" fillId="10" borderId="0">
      <alignment vertical="center"/>
    </xf>
    <xf numFmtId="0" fontId="4" fillId="0" borderId="1">
      <alignment vertical="center"/>
    </xf>
    <xf numFmtId="0" fontId="3" fillId="31" borderId="0">
      <alignment vertical="center"/>
    </xf>
    <xf numFmtId="0" fontId="1" fillId="2" borderId="0">
      <alignment vertical="center"/>
    </xf>
    <xf numFmtId="0" fontId="18" fillId="0" borderId="8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1" fontId="0" fillId="0" borderId="0" xfId="0" applyNumberFormat="1" applyAlignment="1"/>
    <xf numFmtId="2" fontId="0" fillId="0" borderId="0" xfId="0" applyNumberFormat="1" applyAlignme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21">
  <autoFilter ref="A5:C21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tabSelected="1" workbookViewId="0">
      <selection activeCell="B23" sqref="B23"/>
    </sheetView>
  </sheetViews>
  <sheetFormatPr defaultColWidth="9" defaultRowHeight="16.8" outlineLevelCol="2"/>
  <cols>
    <col min="1" max="1" width="14" style="1" customWidth="1"/>
    <col min="2" max="2" width="60" style="2" customWidth="1"/>
    <col min="3" max="3" width="37.3365384615385" customWidth="1"/>
  </cols>
  <sheetData>
    <row r="1" spans="1:3">
      <c r="A1" s="3" t="s">
        <v>0</v>
      </c>
      <c r="C1" s="4">
        <v>100000</v>
      </c>
    </row>
    <row r="2" spans="1:3">
      <c r="A2" s="3" t="s">
        <v>1</v>
      </c>
      <c r="C2" s="5">
        <f>SUM(成本明细[金额(元)])</f>
        <v>80377.5</v>
      </c>
    </row>
    <row r="3" spans="1:3">
      <c r="A3" s="3" t="s">
        <v>2</v>
      </c>
      <c r="C3" s="5">
        <f>C1-C2</f>
        <v>19622.5</v>
      </c>
    </row>
    <row r="5" spans="1:3">
      <c r="A5" s="3" t="s">
        <v>3</v>
      </c>
      <c r="B5" t="s">
        <v>4</v>
      </c>
      <c r="C5" t="s">
        <v>5</v>
      </c>
    </row>
    <row r="6" spans="1:3">
      <c r="A6" s="3">
        <v>10000</v>
      </c>
      <c r="B6" t="s">
        <v>6</v>
      </c>
      <c r="C6" t="s">
        <v>7</v>
      </c>
    </row>
    <row r="7" spans="1:3">
      <c r="A7" s="3">
        <v>26000</v>
      </c>
      <c r="B7" t="s">
        <v>6</v>
      </c>
      <c r="C7" t="s">
        <v>8</v>
      </c>
    </row>
    <row r="8" spans="1:3">
      <c r="A8" s="3">
        <v>6000</v>
      </c>
      <c r="B8" t="s">
        <v>9</v>
      </c>
      <c r="C8" t="s">
        <v>10</v>
      </c>
    </row>
    <row r="9" spans="1:3">
      <c r="A9" s="3">
        <v>3000</v>
      </c>
      <c r="B9" t="s">
        <v>9</v>
      </c>
      <c r="C9" t="s">
        <v>11</v>
      </c>
    </row>
    <row r="10" spans="1:3">
      <c r="A10" s="3">
        <v>2100</v>
      </c>
      <c r="B10" t="s">
        <v>9</v>
      </c>
      <c r="C10" t="s">
        <v>12</v>
      </c>
    </row>
    <row r="11" spans="1:3">
      <c r="A11" s="3">
        <v>340</v>
      </c>
      <c r="B11" t="s">
        <v>9</v>
      </c>
      <c r="C11" t="s">
        <v>13</v>
      </c>
    </row>
    <row r="12" spans="1:3">
      <c r="A12" s="3">
        <v>200</v>
      </c>
      <c r="B12" t="s">
        <v>14</v>
      </c>
      <c r="C12" t="s">
        <v>15</v>
      </c>
    </row>
    <row r="13" spans="1:3">
      <c r="A13" s="3">
        <v>11000</v>
      </c>
      <c r="B13" t="s">
        <v>16</v>
      </c>
      <c r="C13" t="s">
        <v>17</v>
      </c>
    </row>
    <row r="14" spans="1:3">
      <c r="A14" s="3">
        <v>5000</v>
      </c>
      <c r="B14" t="s">
        <v>9</v>
      </c>
      <c r="C14" t="s">
        <v>18</v>
      </c>
    </row>
    <row r="15" spans="1:3">
      <c r="A15" s="3">
        <v>755</v>
      </c>
      <c r="B15" t="s">
        <v>16</v>
      </c>
      <c r="C15" t="s">
        <v>19</v>
      </c>
    </row>
    <row r="16" spans="1:3">
      <c r="A16" s="3">
        <v>190</v>
      </c>
      <c r="B16" t="s">
        <v>9</v>
      </c>
      <c r="C16" t="s">
        <v>20</v>
      </c>
    </row>
    <row r="17" spans="1:3">
      <c r="A17" s="3">
        <v>405.9</v>
      </c>
      <c r="B17" t="s">
        <v>16</v>
      </c>
      <c r="C17" t="s">
        <v>21</v>
      </c>
    </row>
    <row r="18" spans="1:3">
      <c r="A18" s="3">
        <v>228</v>
      </c>
      <c r="B18" t="s">
        <v>16</v>
      </c>
      <c r="C18" t="s">
        <v>22</v>
      </c>
    </row>
    <row r="19" spans="1:3">
      <c r="A19" s="3">
        <v>639.5</v>
      </c>
      <c r="B19" t="s">
        <v>16</v>
      </c>
      <c r="C19" t="s">
        <v>23</v>
      </c>
    </row>
    <row r="20" spans="1:3">
      <c r="A20" s="3">
        <v>1259.1</v>
      </c>
      <c r="B20" t="s">
        <v>16</v>
      </c>
      <c r="C20" t="s">
        <v>24</v>
      </c>
    </row>
    <row r="21" spans="1:3">
      <c r="A21" s="3">
        <v>13260</v>
      </c>
      <c r="B21" t="s">
        <v>25</v>
      </c>
      <c r="C21" t="s">
        <v>26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开店成本清单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yalla</dc:creator>
  <cp:lastModifiedBy>李成川</cp:lastModifiedBy>
  <dcterms:created xsi:type="dcterms:W3CDTF">2026-01-29T18:45:00Z</dcterms:created>
  <dcterms:modified xsi:type="dcterms:W3CDTF">2026-01-28T13:30:33Z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