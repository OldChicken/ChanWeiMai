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3161CFBF-FD65-438A-9E47-E94599119A28}" xr6:coauthVersionLast="47" xr6:coauthVersionMax="47" xr10:uidLastSave="{00000000-0000-0000-0000-000000000000}"/>
  <bookViews>
    <workbookView xWindow="4680" yWindow="3525" windowWidth="38700" windowHeight="15345" xr2:uid="{00000000-000D-0000-FFFF-FFFF00000000}"/>
  </bookViews>
  <sheets>
    <sheet name="开店成本清单" sheetId="1" r:id="rId1"/>
    <sheet name="流水-202602" sheetId="2" r:id="rId2"/>
    <sheet name="流水-20260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19" i="2"/>
  <c r="C2" i="1"/>
  <c r="C3" i="1"/>
</calcChain>
</file>

<file path=xl/sharedStrings.xml><?xml version="1.0" encoding="utf-8"?>
<sst xmlns="http://schemas.openxmlformats.org/spreadsheetml/2006/main" count="80" uniqueCount="58">
  <si>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</si>
  <si>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</si>
  <si>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</si>
  <si>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</si>
  <si>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</si>
  <si>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</si>
  <si>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</si>
  <si>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</si>
  <si>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</si>
  <si>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</si>
  <si>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</si>
  <si>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</si>
  <si>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</si>
  <si>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</si>
  <si>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</si>
  <si>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</si>
  <si>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</si>
  <si>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</si>
  <si>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</si>
  <si>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</si>
  <si>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</si>
  <si>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</si>
  <si>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</si>
  <si>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</si>
  <si>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</si>
  <si>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</si>
  <si>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快驴预充</t>
  </si>
  <si>
    <t>开店首批食材</t>
  </si>
  <si>
    <t>扫码点餐物料</t>
  </si>
  <si>
    <t>装修尾款</t>
  </si>
  <si>
    <t>外卖店铺装修</t>
  </si>
  <si>
    <t>活动</t>
  </si>
  <si>
    <t>外卖首日刷单</t>
  </si>
  <si>
    <t>营业额</t>
  </si>
  <si>
    <t>堂食</t>
  </si>
  <si>
    <t>京东</t>
  </si>
  <si>
    <t>淘宝</t>
  </si>
  <si>
    <t>美团</t>
  </si>
  <si>
    <t>毛利润</t>
    <phoneticPr fontId="5" type="noConversion"/>
  </si>
  <si>
    <t>净利润</t>
    <phoneticPr fontId="5" type="noConversion"/>
  </si>
  <si>
    <t>成本明细</t>
    <phoneticPr fontId="5" type="noConversion"/>
  </si>
  <si>
    <t>房租</t>
    <phoneticPr fontId="5" type="noConversion"/>
  </si>
  <si>
    <t>水电</t>
    <phoneticPr fontId="5" type="noConversion"/>
  </si>
  <si>
    <t>人工</t>
    <phoneticPr fontId="5" type="noConversion"/>
  </si>
  <si>
    <t>食材</t>
    <phoneticPr fontId="5" type="noConversion"/>
  </si>
  <si>
    <t>推广</t>
  </si>
  <si>
    <t>推广</t>
    <phoneticPr fontId="5" type="noConversion"/>
  </si>
  <si>
    <t>淘宝300+美团300，首充</t>
    <phoneticPr fontId="5" type="noConversion"/>
  </si>
  <si>
    <t>包装盒补货</t>
    <phoneticPr fontId="5" type="noConversion"/>
  </si>
  <si>
    <t>快驴充值</t>
    <phoneticPr fontId="5" type="noConversion"/>
  </si>
  <si>
    <t>分类</t>
    <phoneticPr fontId="5" type="noConversion"/>
  </si>
  <si>
    <t>快驴补货</t>
    <phoneticPr fontId="5" type="noConversion"/>
  </si>
  <si>
    <t>外卖刷单</t>
    <phoneticPr fontId="5" type="noConversion"/>
  </si>
  <si>
    <t>成本合计</t>
    <phoneticPr fontId="5" type="noConversion"/>
  </si>
  <si>
    <t>营业额合计</t>
    <phoneticPr fontId="5" type="noConversion"/>
  </si>
  <si>
    <t>外卖推广首充</t>
    <phoneticPr fontId="5" type="noConversion"/>
  </si>
  <si>
    <t>房租每月</t>
    <phoneticPr fontId="5" type="noConversion"/>
  </si>
  <si>
    <t>首批食材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</si>
</sst>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Calibri"/>
      <family val="2"/>
    </font>
    <font>
      <sz val="11"/>
      <color theme="1"/>
      <name val="微软雅黑"/>
      <charset val="134"/>
    </font>
    <font>
      <sz val="11"/>
      <color theme="1"/>
      <name val="宋体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3" fontId="1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4" fontId="2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4" fontId="0" fillId="0" borderId="0" xfId="0" applyNumberFormat="1"/>
    <xf numFmtId="0" fontId="2" fillId="0" borderId="0" xfId="0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8" fillId="0" borderId="0" xfId="0" applyFont="1"/>
    <xf numFmtId="3" fontId="6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3" fontId="4" fillId="0" borderId="0" xfId="0" applyNumberFormat="1" applyFont="1" applyAlignment="1">
      <alignment horizontal="left"/>
    </xf>
    <xf numFmtId="4" fontId="8" fillId="0" borderId="0" xfId="0" applyNumberFormat="1" applyFont="1"/>
    <xf numFmtId="4" fontId="7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4" fontId="4" fillId="0" borderId="0" xfId="0" applyNumberFormat="1" applyFont="1" applyAlignment="1">
      <alignment horizontal="left"/>
    </xf>
    <xf numFmtId="3" fontId="0" fillId="0" borderId="0" xfId="0" applyNumberFormat="1"/>
  </cellXfs>
  <cellStyles count="1">
    <cellStyle name="常规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29" totalsRowShown="0">
  <autoFilter ref="A5:C29" xr:uid="{00000000-0009-0000-0100-000001000000}"/>
  <tableColumns count="3">
    <tableColumn id="1" xr3:uid="{00000000-0010-0000-0000-000001000000}" name="金额(元)"/>
    <tableColumn id="2" xr3:uid="{00000000-0010-0000-0000-000002000000}" name="分类"/>
    <tableColumn id="3" xr3:uid="{00000000-0010-0000-0000-000003000000}" name="说明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营业额明细表" displayName="营业额明细表" ref="A12:C16" totalsRowShown="0">
  <autoFilter ref="A12:C16" xr:uid="{00000000-0009-0000-0100-000002000000}"/>
  <tableColumns count="3">
    <tableColumn id="1" xr3:uid="{00000000-0010-0000-0100-000001000000}" name="营业额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656A48-3500-4511-816C-0DE74353ECDC}" name="成本明细表" displayName="成本明细表" ref="A2:C9" totalsRowShown="0">
  <autoFilter ref="A2:C9" xr:uid="{78656A48-3500-4511-816C-0DE74353ECDC}"/>
  <tableColumns count="3">
    <tableColumn id="2" xr3:uid="{0C9212B7-8680-4D3B-8C91-0F224824E66C}" name="成本明细"/>
    <tableColumn id="3" xr3:uid="{55C85BAB-8D94-40D0-8B9B-AFF7A661C290}" name="说明"/>
    <tableColumn id="4" xr3:uid="{6116E0BB-FCA4-4E69-ABCD-83FA79E01C24}" name="分类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29"/>
  <sheetViews>
    <sheetView tabSelected="1" workbookViewId="0">
      <selection activeCell="G5" sqref="G5"/>
    </sheetView>
  </sheetViews>
  <sheetFormatPr defaultColWidth="9" defaultRowHeight="13.5" x14ac:dyDescent="0.15"/>
  <cols>
    <col min="1" max="1" width="19.75" style="8" customWidth="1"/>
    <col min="2" max="2" width="60" customWidth="1"/>
    <col min="3" max="3" width="37.25" style="9" customWidth="1"/>
  </cols>
  <sheetData>
    <row r="1" spans="1:3" ht="20.25" customHeight="1" x14ac:dyDescent="0.25">
      <c r="A1" s="6" t="s">
        <v>0</v>
      </c>
      <c r="C1" s="2">
        <v>100000</v>
      </c>
    </row>
    <row r="2" spans="1:3" ht="20.25" customHeight="1" x14ac:dyDescent="0.25">
      <c r="A2" s="6" t="s">
        <v>1</v>
      </c>
      <c r="C2" s="3">
        <f>SUM(成本明细[金额(元)])</f>
        <v>91331.6</v>
      </c>
    </row>
    <row r="3" spans="1:3" ht="20.25" customHeight="1" x14ac:dyDescent="0.25">
      <c r="A3" s="6" t="s">
        <v>2</v>
      </c>
      <c r="C3" s="3">
        <f>C1-C2</f>
        <v>8668.3999999999942</v>
      </c>
    </row>
    <row r="4" spans="1:3" ht="18.75" customHeight="1" x14ac:dyDescent="0.15"/>
    <row r="5" spans="1:3" ht="20.25" customHeight="1" x14ac:dyDescent="0.25">
      <c r="A5" s="6" t="s">
        <v>3</v>
      </c>
      <c r="B5" s="10" t="s">
        <v>4</v>
      </c>
      <c r="C5" s="5" t="s">
        <v>5</v>
      </c>
    </row>
    <row r="6" spans="1:3" ht="20.25" customHeight="1" x14ac:dyDescent="0.25">
      <c r="A6" s="6">
        <v>10000</v>
      </c>
      <c r="B6" s="10" t="s">
        <v>6</v>
      </c>
      <c r="C6" s="5" t="s">
        <v>7</v>
      </c>
    </row>
    <row r="7" spans="1:3" ht="20.25" customHeight="1" x14ac:dyDescent="0.25">
      <c r="A7" s="6">
        <v>26000</v>
      </c>
      <c r="B7" s="10" t="s">
        <v>6</v>
      </c>
      <c r="C7" s="5" t="s">
        <v>8</v>
      </c>
    </row>
    <row r="8" spans="1:3" ht="20.25" customHeight="1" x14ac:dyDescent="0.25">
      <c r="A8" s="6">
        <v>6000</v>
      </c>
      <c r="B8" s="10" t="s">
        <v>9</v>
      </c>
      <c r="C8" s="5" t="s">
        <v>10</v>
      </c>
    </row>
    <row r="9" spans="1:3" ht="20.25" customHeight="1" x14ac:dyDescent="0.25">
      <c r="A9" s="6">
        <v>3000</v>
      </c>
      <c r="B9" s="10" t="s">
        <v>9</v>
      </c>
      <c r="C9" s="5" t="s">
        <v>11</v>
      </c>
    </row>
    <row r="10" spans="1:3" ht="20.25" customHeight="1" x14ac:dyDescent="0.25">
      <c r="A10" s="6">
        <v>2100</v>
      </c>
      <c r="B10" s="10" t="s">
        <v>9</v>
      </c>
      <c r="C10" s="5" t="s">
        <v>12</v>
      </c>
    </row>
    <row r="11" spans="1:3" ht="20.25" customHeight="1" x14ac:dyDescent="0.25">
      <c r="A11" s="6">
        <v>340</v>
      </c>
      <c r="B11" s="10" t="s">
        <v>9</v>
      </c>
      <c r="C11" s="5" t="s">
        <v>13</v>
      </c>
    </row>
    <row r="12" spans="1:3" ht="20.25" customHeight="1" x14ac:dyDescent="0.25">
      <c r="A12" s="6">
        <v>200</v>
      </c>
      <c r="B12" s="10" t="s">
        <v>14</v>
      </c>
      <c r="C12" s="5" t="s">
        <v>15</v>
      </c>
    </row>
    <row r="13" spans="1:3" ht="20.25" customHeight="1" x14ac:dyDescent="0.25">
      <c r="A13" s="6">
        <v>11000</v>
      </c>
      <c r="B13" s="10" t="s">
        <v>16</v>
      </c>
      <c r="C13" s="5" t="s">
        <v>17</v>
      </c>
    </row>
    <row r="14" spans="1:3" ht="20.25" customHeight="1" x14ac:dyDescent="0.25">
      <c r="A14" s="6">
        <v>5000</v>
      </c>
      <c r="B14" s="10" t="s">
        <v>9</v>
      </c>
      <c r="C14" s="5" t="s">
        <v>18</v>
      </c>
    </row>
    <row r="15" spans="1:3" ht="20.25" customHeight="1" x14ac:dyDescent="0.25">
      <c r="A15" s="6">
        <v>755</v>
      </c>
      <c r="B15" s="10" t="s">
        <v>16</v>
      </c>
      <c r="C15" s="5" t="s">
        <v>19</v>
      </c>
    </row>
    <row r="16" spans="1:3" ht="20.25" customHeight="1" x14ac:dyDescent="0.25">
      <c r="A16" s="6">
        <v>190</v>
      </c>
      <c r="B16" s="10" t="s">
        <v>9</v>
      </c>
      <c r="C16" s="5" t="s">
        <v>20</v>
      </c>
    </row>
    <row r="17" spans="1:3" ht="20.25" customHeight="1" x14ac:dyDescent="0.25">
      <c r="A17" s="5">
        <v>405.9</v>
      </c>
      <c r="B17" s="10" t="s">
        <v>16</v>
      </c>
      <c r="C17" s="5" t="s">
        <v>21</v>
      </c>
    </row>
    <row r="18" spans="1:3" ht="20.25" customHeight="1" x14ac:dyDescent="0.25">
      <c r="A18" s="6">
        <v>228</v>
      </c>
      <c r="B18" s="10" t="s">
        <v>16</v>
      </c>
      <c r="C18" s="5" t="s">
        <v>22</v>
      </c>
    </row>
    <row r="19" spans="1:3" ht="20.25" customHeight="1" x14ac:dyDescent="0.25">
      <c r="A19" s="5">
        <v>639.5</v>
      </c>
      <c r="B19" s="10" t="s">
        <v>16</v>
      </c>
      <c r="C19" s="5" t="s">
        <v>23</v>
      </c>
    </row>
    <row r="20" spans="1:3" ht="20.25" customHeight="1" x14ac:dyDescent="0.25">
      <c r="A20" s="5">
        <v>1259.0999999999999</v>
      </c>
      <c r="B20" s="10" t="s">
        <v>16</v>
      </c>
      <c r="C20" s="5" t="s">
        <v>24</v>
      </c>
    </row>
    <row r="21" spans="1:3" ht="18.75" customHeight="1" x14ac:dyDescent="0.15">
      <c r="A21" s="8">
        <v>1000</v>
      </c>
      <c r="B21" t="s">
        <v>25</v>
      </c>
      <c r="C21" s="9" t="s">
        <v>26</v>
      </c>
    </row>
    <row r="22" spans="1:3" ht="20.25" customHeight="1" x14ac:dyDescent="0.25">
      <c r="A22" s="6">
        <v>13260</v>
      </c>
      <c r="B22" s="10" t="s">
        <v>25</v>
      </c>
      <c r="C22" s="5" t="s">
        <v>27</v>
      </c>
    </row>
    <row r="23" spans="1:3" ht="20.25" customHeight="1" x14ac:dyDescent="0.25">
      <c r="A23" s="6">
        <v>276.10000000000002</v>
      </c>
      <c r="B23" s="7" t="s">
        <v>14</v>
      </c>
      <c r="C23" s="11" t="s">
        <v>28</v>
      </c>
    </row>
    <row r="24" spans="1:3" x14ac:dyDescent="0.15">
      <c r="A24" s="8">
        <v>6000</v>
      </c>
      <c r="B24" t="s">
        <v>9</v>
      </c>
      <c r="C24" s="9" t="s">
        <v>29</v>
      </c>
    </row>
    <row r="25" spans="1:3" x14ac:dyDescent="0.15">
      <c r="A25" s="8">
        <v>640</v>
      </c>
      <c r="B25" t="s">
        <v>9</v>
      </c>
      <c r="C25" s="9" t="s">
        <v>30</v>
      </c>
    </row>
    <row r="26" spans="1:3" x14ac:dyDescent="0.15">
      <c r="A26" s="8">
        <v>500</v>
      </c>
      <c r="B26" t="s">
        <v>31</v>
      </c>
      <c r="C26" s="9" t="s">
        <v>32</v>
      </c>
    </row>
    <row r="27" spans="1:3" x14ac:dyDescent="0.15">
      <c r="A27" s="8">
        <v>600</v>
      </c>
      <c r="B27" s="13" t="s">
        <v>46</v>
      </c>
      <c r="C27" s="17" t="s">
        <v>47</v>
      </c>
    </row>
    <row r="28" spans="1:3" x14ac:dyDescent="0.15">
      <c r="A28" s="8">
        <v>938</v>
      </c>
      <c r="B28" s="13" t="s">
        <v>44</v>
      </c>
      <c r="C28" s="17" t="s">
        <v>48</v>
      </c>
    </row>
    <row r="29" spans="1:3" x14ac:dyDescent="0.15">
      <c r="A29" s="8">
        <v>1000</v>
      </c>
      <c r="B29" s="13" t="s">
        <v>44</v>
      </c>
      <c r="C29" s="17" t="s">
        <v>49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22"/>
  <sheetViews>
    <sheetView workbookViewId="0">
      <selection activeCell="G15" sqref="G15"/>
    </sheetView>
  </sheetViews>
  <sheetFormatPr defaultColWidth="9" defaultRowHeight="13.5" x14ac:dyDescent="0.15"/>
  <cols>
    <col min="1" max="1" width="21.125" customWidth="1"/>
    <col min="2" max="2" width="19.75" customWidth="1"/>
    <col min="3" max="3" width="23.25" customWidth="1"/>
  </cols>
  <sheetData>
    <row r="1" spans="1:3" x14ac:dyDescent="0.15">
      <c r="A1" s="13"/>
    </row>
    <row r="2" spans="1:3" ht="16.5" x14ac:dyDescent="0.3">
      <c r="A2" s="15" t="s">
        <v>40</v>
      </c>
      <c r="B2" s="5" t="s">
        <v>5</v>
      </c>
      <c r="C2" s="18" t="s">
        <v>50</v>
      </c>
    </row>
    <row r="3" spans="1:3" x14ac:dyDescent="0.15">
      <c r="A3" s="19">
        <v>1000</v>
      </c>
      <c r="B3" s="20" t="s">
        <v>51</v>
      </c>
      <c r="C3" s="16" t="s">
        <v>44</v>
      </c>
    </row>
    <row r="4" spans="1:3" ht="15" x14ac:dyDescent="0.25">
      <c r="A4" s="7"/>
      <c r="B4" s="5"/>
      <c r="C4" s="16" t="s">
        <v>42</v>
      </c>
    </row>
    <row r="5" spans="1:3" ht="15" x14ac:dyDescent="0.25">
      <c r="A5" s="7"/>
      <c r="B5" s="5"/>
      <c r="C5" s="16" t="s">
        <v>43</v>
      </c>
    </row>
    <row r="6" spans="1:3" x14ac:dyDescent="0.15">
      <c r="A6" s="7">
        <v>13260</v>
      </c>
      <c r="B6" s="20" t="s">
        <v>57</v>
      </c>
      <c r="C6" s="16" t="s">
        <v>44</v>
      </c>
    </row>
    <row r="7" spans="1:3" x14ac:dyDescent="0.15">
      <c r="A7" s="7">
        <v>4334</v>
      </c>
      <c r="B7" s="20" t="s">
        <v>56</v>
      </c>
      <c r="C7" s="20" t="s">
        <v>41</v>
      </c>
    </row>
    <row r="8" spans="1:3" x14ac:dyDescent="0.15">
      <c r="A8" s="19">
        <v>600</v>
      </c>
      <c r="B8" s="20" t="s">
        <v>55</v>
      </c>
      <c r="C8" s="20" t="s">
        <v>46</v>
      </c>
    </row>
    <row r="9" spans="1:3" ht="16.5" customHeight="1" x14ac:dyDescent="0.25">
      <c r="A9" s="7">
        <v>500</v>
      </c>
      <c r="B9" s="20" t="s">
        <v>52</v>
      </c>
      <c r="C9" s="5" t="s">
        <v>45</v>
      </c>
    </row>
    <row r="12" spans="1:3" ht="16.5" x14ac:dyDescent="0.3">
      <c r="A12" s="1" t="s">
        <v>33</v>
      </c>
      <c r="B12" s="4" t="s">
        <v>4</v>
      </c>
      <c r="C12" s="5" t="s">
        <v>5</v>
      </c>
    </row>
    <row r="13" spans="1:3" ht="15" x14ac:dyDescent="0.25">
      <c r="A13" s="6"/>
      <c r="B13" s="7" t="s">
        <v>34</v>
      </c>
      <c r="C13" s="5"/>
    </row>
    <row r="14" spans="1:3" ht="15" x14ac:dyDescent="0.25">
      <c r="A14" s="6"/>
      <c r="B14" s="7" t="s">
        <v>35</v>
      </c>
      <c r="C14" s="5"/>
    </row>
    <row r="15" spans="1:3" ht="15" x14ac:dyDescent="0.25">
      <c r="A15" s="6"/>
      <c r="B15" s="7" t="s">
        <v>36</v>
      </c>
      <c r="C15" s="5"/>
    </row>
    <row r="16" spans="1:3" ht="15" x14ac:dyDescent="0.25">
      <c r="A16" s="6"/>
      <c r="B16" s="7" t="s">
        <v>37</v>
      </c>
      <c r="C16" s="5"/>
    </row>
    <row r="19" spans="1:3" ht="15" x14ac:dyDescent="0.25">
      <c r="A19" s="14" t="s">
        <v>53</v>
      </c>
      <c r="B19">
        <f>SUM(成本明细表[成本明细])</f>
        <v>19694</v>
      </c>
      <c r="C19" s="2"/>
    </row>
    <row r="20" spans="1:3" ht="16.5" x14ac:dyDescent="0.3">
      <c r="A20" s="12" t="s">
        <v>54</v>
      </c>
      <c r="B20" s="21">
        <f>SUM(营业额明细表[营业额])</f>
        <v>0</v>
      </c>
      <c r="C20" s="3"/>
    </row>
    <row r="21" spans="1:3" ht="16.5" x14ac:dyDescent="0.3">
      <c r="A21" s="12" t="s">
        <v>38</v>
      </c>
      <c r="C21" s="3"/>
    </row>
    <row r="22" spans="1:3" x14ac:dyDescent="0.15">
      <c r="A22" s="13" t="s">
        <v>39</v>
      </c>
    </row>
  </sheetData>
  <phoneticPr fontId="5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"/>
  <sheetViews>
    <sheetView workbookViewId="0"/>
  </sheetViews>
  <sheetFormatPr defaultColWidth="9" defaultRowHeight="13.5" x14ac:dyDescent="0.15"/>
  <sheetData/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</vt:lpstr>
      <vt:lpstr>流水-202603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2026-01-29T19:28:00Z</dcterms:created>
  <dcterms:modified xsi:type="dcterms:W3CDTF">2026-02-08T07:18:31Z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