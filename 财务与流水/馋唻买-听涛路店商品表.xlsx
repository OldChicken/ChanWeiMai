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workbookProtection/>
  <bookViews>
    <workbookView windowWidth="28000" windowHeight="15800"/>
  </bookViews>
  <sheets>
    <sheet name="成本管理" sheetId="1" r:id="rId1"/>
  </sheets>
  <calcPr calcId="144525"/>
</workbook>
</file>

<file path=xl/sharedStrings.xml><?xml version="1.0" encoding="utf-8"?>
<sst xmlns="http://schemas.openxmlformats.org/spreadsheetml/2006/main" count="13" uniqueCount="13">
  <si>
    <t>SKU名称</t>
  </si>
  <si>
    <t>进货价格(元/500g)</t>
  </si>
  <si>
    <t>每份重量(g)</t>
  </si>
  <si>
    <t>食材成本(元/份)</t>
  </si>
  <si>
    <t>包装成本(元/份)</t>
  </si>
  <si>
    <t>其他成本(元/份)</t>
  </si>
  <si>
    <t>售价(元/份)</t>
  </si>
  <si>
    <t>毛利(元/份)</t>
  </si>
  <si>
    <t>毛利率(%)</t>
  </si>
  <si>
    <t>拇指小笼包</t>
  </si>
  <si>
    <t>沙县蒸饺</t>
  </si>
  <si>
    <t>经典瘦肉丸(100g)</t>
  </si>
  <si>
    <t>经典瘦肉丸(120g)</t>
  </si>
</sst>
</file>

<file path=xl/styles.xml><?xml version="1.0" encoding="utf-8"?>
<styleSheet xmlns="http://schemas.openxmlformats.org/spreadsheetml/2006/main">
  <numFmts count="4"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43" formatCode="_ * #,##0.00_ ;_ * \-#,##0.00_ ;_ * &quot;-&quot;??_ ;_ @_ "/>
    <numFmt numFmtId="41" formatCode="_ * #,##0_ ;_ * \-#,##0_ ;_ * &quot;-&quot;_ ;_ @_ "/>
  </numFmts>
  <fonts count="22">
    <font>
      <sz val="11"/>
      <color theme="1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theme="1"/>
      <name val="宋体"/>
      <charset val="134"/>
      <scheme val="minor"/>
    </font>
    <font>
      <b/>
      <sz val="11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9C0006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9C6500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E7E6E6"/>
        <bgColor rgb="FFE7E6E6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0" fontId="8" fillId="19" borderId="0" applyNumberFormat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18" fillId="24" borderId="8" applyNumberFormat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19" fillId="8" borderId="8" applyNumberFormat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15" fillId="16" borderId="0" applyNumberFormat="0" applyBorder="0" applyAlignment="0" applyProtection="0">
      <alignment vertical="center"/>
    </xf>
    <xf numFmtId="0" fontId="16" fillId="17" borderId="7" applyNumberFormat="0" applyAlignment="0" applyProtection="0">
      <alignment vertical="center"/>
    </xf>
    <xf numFmtId="0" fontId="9" fillId="8" borderId="5" applyNumberFormat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43" fontId="5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5" fillId="6" borderId="4" applyNumberFormat="0" applyFont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0" fontId="4" fillId="0" borderId="3" applyNumberFormat="0" applyFill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6" fillId="0" borderId="6" applyNumberFormat="0" applyFill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2" fillId="0" borderId="2" applyNumberFormat="0" applyFill="0" applyAlignment="0" applyProtection="0">
      <alignment vertical="center"/>
    </xf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2" fontId="0" fillId="3" borderId="1" xfId="0" applyNumberFormat="1" applyFill="1" applyBorder="1" applyAlignment="1">
      <alignment horizontal="center"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SKUTable" displayName="SKUTable" ref="A1:I20">
  <autoFilter ref="A1:I20"/>
  <tableColumns count="9">
    <tableColumn id="1" name="SKU名称"/>
    <tableColumn id="2" name="进货价格(元/500g)"/>
    <tableColumn id="3" name="每份重量(g)"/>
    <tableColumn id="4" name="食材成本(元/份)"/>
    <tableColumn id="5" name="包装成本(元/份)"/>
    <tableColumn id="6" name="其他成本(元/份)"/>
    <tableColumn id="7" name="售价(元/份)"/>
    <tableColumn id="8" name="毛利(元/份)"/>
    <tableColumn id="9" name="毛利率(%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0"/>
  <sheetViews>
    <sheetView tabSelected="1" workbookViewId="0">
      <pane ySplit="1" topLeftCell="A2" activePane="bottomLeft" state="frozen"/>
      <selection/>
      <selection pane="bottomLeft" activeCell="E10" sqref="E10"/>
    </sheetView>
  </sheetViews>
  <sheetFormatPr defaultColWidth="9" defaultRowHeight="16.8"/>
  <cols>
    <col min="1" max="1" width="15" customWidth="1"/>
    <col min="2" max="2" width="14" customWidth="1"/>
    <col min="3" max="7" width="13" customWidth="1"/>
    <col min="8" max="9" width="12" customWidth="1"/>
  </cols>
  <sheetData>
    <row r="1" ht="34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s="2" t="s">
        <v>9</v>
      </c>
      <c r="B2" s="3">
        <v>11</v>
      </c>
      <c r="C2" s="3">
        <v>120</v>
      </c>
      <c r="D2" s="4">
        <f>B2*C2/500</f>
        <v>2.64</v>
      </c>
      <c r="E2" s="3">
        <v>0.3</v>
      </c>
      <c r="F2" s="3">
        <v>0.2</v>
      </c>
      <c r="G2" s="3">
        <v>8</v>
      </c>
      <c r="H2" s="4">
        <f>G2-(D2+E2+F2)</f>
        <v>4.86</v>
      </c>
      <c r="I2" s="5">
        <f>(G2-(D2+E2+F2))/G2*100</f>
        <v>60.75</v>
      </c>
    </row>
    <row r="3" spans="1:9">
      <c r="A3" s="2" t="s">
        <v>10</v>
      </c>
      <c r="B3" s="3">
        <v>11.5</v>
      </c>
      <c r="C3" s="3">
        <v>220</v>
      </c>
      <c r="D3" s="4">
        <f>B3*C3/500</f>
        <v>5.06</v>
      </c>
      <c r="E3" s="3">
        <v>0.3</v>
      </c>
      <c r="F3" s="3">
        <v>0.2</v>
      </c>
      <c r="G3" s="3">
        <v>8</v>
      </c>
      <c r="H3" s="4">
        <f>G3-(D3+E3+F3)</f>
        <v>2.44</v>
      </c>
      <c r="I3" s="5">
        <f>(G3-(D3+E3+F3))/G3*100</f>
        <v>30.5</v>
      </c>
    </row>
    <row r="4" spans="1:9">
      <c r="A4" s="2" t="s">
        <v>11</v>
      </c>
      <c r="B4" s="3">
        <v>9.5</v>
      </c>
      <c r="C4" s="3">
        <v>100</v>
      </c>
      <c r="D4" s="4">
        <f>B4*C4/500</f>
        <v>1.9</v>
      </c>
      <c r="E4" s="3">
        <v>0.4</v>
      </c>
      <c r="F4" s="3">
        <v>0.2</v>
      </c>
      <c r="G4" s="3">
        <v>12</v>
      </c>
      <c r="H4" s="4">
        <f>G4-(D4+E4+F4)</f>
        <v>9.5</v>
      </c>
      <c r="I4" s="5">
        <f>(G4-(D4+E4+F4))/G4*100</f>
        <v>79.1666666666667</v>
      </c>
    </row>
    <row r="5" spans="1:9">
      <c r="A5" s="2" t="s">
        <v>12</v>
      </c>
      <c r="B5" s="3">
        <v>9.5</v>
      </c>
      <c r="C5" s="3">
        <v>120</v>
      </c>
      <c r="D5" s="4">
        <f>B5*C5/500</f>
        <v>2.28</v>
      </c>
      <c r="E5" s="3">
        <v>0.5</v>
      </c>
      <c r="F5" s="3">
        <v>0.2</v>
      </c>
      <c r="G5" s="3">
        <v>16</v>
      </c>
      <c r="H5" s="4">
        <f>G5-(D5+E5+F5)</f>
        <v>13.02</v>
      </c>
      <c r="I5" s="5">
        <f>(G5-(D5+E5+F5))/G5*100</f>
        <v>81.375</v>
      </c>
    </row>
    <row r="6" spans="1:9">
      <c r="A6" s="2"/>
      <c r="B6" s="3"/>
      <c r="C6" s="3"/>
      <c r="D6" s="4" t="str">
        <f t="shared" ref="D6:D20" si="0">IF(B6&lt;&gt;"",B6*C6/500,"")</f>
        <v/>
      </c>
      <c r="E6" s="3"/>
      <c r="F6" s="3"/>
      <c r="G6" s="3"/>
      <c r="H6" s="4" t="str">
        <f t="shared" ref="H6:H20" si="1">IF(B6&lt;&gt;"",G6-(D6+E6+F6),"")</f>
        <v/>
      </c>
      <c r="I6" s="5" t="str">
        <f t="shared" ref="I6:I20" si="2">IF(B6&lt;&gt;"",((G6-(D6+E6+F6))/G6*100),"")</f>
        <v/>
      </c>
    </row>
    <row r="7" spans="1:9">
      <c r="A7" s="2"/>
      <c r="B7" s="3"/>
      <c r="C7" s="3"/>
      <c r="D7" s="4" t="str">
        <f t="shared" si="0"/>
        <v/>
      </c>
      <c r="E7" s="3"/>
      <c r="F7" s="3"/>
      <c r="G7" s="3"/>
      <c r="H7" s="4" t="str">
        <f t="shared" si="1"/>
        <v/>
      </c>
      <c r="I7" s="5" t="str">
        <f t="shared" si="2"/>
        <v/>
      </c>
    </row>
    <row r="8" spans="1:9">
      <c r="A8" s="2"/>
      <c r="B8" s="3"/>
      <c r="C8" s="3"/>
      <c r="D8" s="4" t="str">
        <f t="shared" si="0"/>
        <v/>
      </c>
      <c r="E8" s="3"/>
      <c r="F8" s="3"/>
      <c r="G8" s="3"/>
      <c r="H8" s="4" t="str">
        <f t="shared" si="1"/>
        <v/>
      </c>
      <c r="I8" s="5" t="str">
        <f t="shared" si="2"/>
        <v/>
      </c>
    </row>
    <row r="9" spans="1:9">
      <c r="A9" s="2"/>
      <c r="B9" s="3"/>
      <c r="C9" s="3"/>
      <c r="D9" s="4" t="str">
        <f t="shared" si="0"/>
        <v/>
      </c>
      <c r="E9" s="3"/>
      <c r="F9" s="3"/>
      <c r="G9" s="3"/>
      <c r="H9" s="4" t="str">
        <f t="shared" si="1"/>
        <v/>
      </c>
      <c r="I9" s="5" t="str">
        <f t="shared" si="2"/>
        <v/>
      </c>
    </row>
    <row r="10" spans="1:9">
      <c r="A10" s="2"/>
      <c r="B10" s="3"/>
      <c r="C10" s="3"/>
      <c r="D10" s="4" t="str">
        <f t="shared" si="0"/>
        <v/>
      </c>
      <c r="E10" s="3"/>
      <c r="F10" s="3"/>
      <c r="G10" s="3"/>
      <c r="H10" s="4" t="str">
        <f t="shared" si="1"/>
        <v/>
      </c>
      <c r="I10" s="5" t="str">
        <f t="shared" si="2"/>
        <v/>
      </c>
    </row>
    <row r="11" spans="1:9">
      <c r="A11" s="2"/>
      <c r="B11" s="3"/>
      <c r="C11" s="3"/>
      <c r="D11" s="4" t="str">
        <f t="shared" si="0"/>
        <v/>
      </c>
      <c r="E11" s="3"/>
      <c r="F11" s="3"/>
      <c r="G11" s="3"/>
      <c r="H11" s="4" t="str">
        <f t="shared" si="1"/>
        <v/>
      </c>
      <c r="I11" s="5" t="str">
        <f t="shared" si="2"/>
        <v/>
      </c>
    </row>
    <row r="12" spans="1:9">
      <c r="A12" s="2"/>
      <c r="B12" s="3"/>
      <c r="C12" s="3"/>
      <c r="D12" s="4" t="str">
        <f t="shared" si="0"/>
        <v/>
      </c>
      <c r="E12" s="3"/>
      <c r="F12" s="3"/>
      <c r="G12" s="3"/>
      <c r="H12" s="4" t="str">
        <f t="shared" si="1"/>
        <v/>
      </c>
      <c r="I12" s="5" t="str">
        <f t="shared" si="2"/>
        <v/>
      </c>
    </row>
    <row r="13" spans="1:9">
      <c r="A13" s="2"/>
      <c r="B13" s="3"/>
      <c r="C13" s="3"/>
      <c r="D13" s="4" t="str">
        <f t="shared" si="0"/>
        <v/>
      </c>
      <c r="E13" s="3"/>
      <c r="F13" s="3"/>
      <c r="G13" s="3"/>
      <c r="H13" s="4" t="str">
        <f t="shared" si="1"/>
        <v/>
      </c>
      <c r="I13" s="5" t="str">
        <f t="shared" si="2"/>
        <v/>
      </c>
    </row>
    <row r="14" spans="1:9">
      <c r="A14" s="2"/>
      <c r="B14" s="3"/>
      <c r="C14" s="3"/>
      <c r="D14" s="4" t="str">
        <f t="shared" si="0"/>
        <v/>
      </c>
      <c r="E14" s="3"/>
      <c r="F14" s="3"/>
      <c r="G14" s="3"/>
      <c r="H14" s="4" t="str">
        <f t="shared" si="1"/>
        <v/>
      </c>
      <c r="I14" s="5" t="str">
        <f t="shared" si="2"/>
        <v/>
      </c>
    </row>
    <row r="15" spans="1:9">
      <c r="A15" s="2"/>
      <c r="B15" s="3"/>
      <c r="C15" s="3"/>
      <c r="D15" s="4" t="str">
        <f t="shared" si="0"/>
        <v/>
      </c>
      <c r="E15" s="3"/>
      <c r="F15" s="3"/>
      <c r="G15" s="3"/>
      <c r="H15" s="4" t="str">
        <f t="shared" si="1"/>
        <v/>
      </c>
      <c r="I15" s="5" t="str">
        <f t="shared" si="2"/>
        <v/>
      </c>
    </row>
    <row r="16" spans="1:9">
      <c r="A16" s="2"/>
      <c r="B16" s="3"/>
      <c r="C16" s="3"/>
      <c r="D16" s="4" t="str">
        <f t="shared" si="0"/>
        <v/>
      </c>
      <c r="E16" s="3"/>
      <c r="F16" s="3"/>
      <c r="G16" s="3"/>
      <c r="H16" s="4" t="str">
        <f t="shared" si="1"/>
        <v/>
      </c>
      <c r="I16" s="5" t="str">
        <f t="shared" si="2"/>
        <v/>
      </c>
    </row>
    <row r="17" spans="1:9">
      <c r="A17" s="2"/>
      <c r="B17" s="3"/>
      <c r="C17" s="3"/>
      <c r="D17" s="4" t="str">
        <f t="shared" si="0"/>
        <v/>
      </c>
      <c r="E17" s="3"/>
      <c r="F17" s="3"/>
      <c r="G17" s="3"/>
      <c r="H17" s="4" t="str">
        <f t="shared" si="1"/>
        <v/>
      </c>
      <c r="I17" s="5" t="str">
        <f t="shared" si="2"/>
        <v/>
      </c>
    </row>
    <row r="18" spans="1:9">
      <c r="A18" s="2"/>
      <c r="B18" s="3"/>
      <c r="C18" s="3"/>
      <c r="D18" s="4" t="str">
        <f t="shared" si="0"/>
        <v/>
      </c>
      <c r="E18" s="3"/>
      <c r="F18" s="3"/>
      <c r="G18" s="3"/>
      <c r="H18" s="4" t="str">
        <f t="shared" si="1"/>
        <v/>
      </c>
      <c r="I18" s="5" t="str">
        <f t="shared" si="2"/>
        <v/>
      </c>
    </row>
    <row r="19" spans="1:9">
      <c r="A19" s="2"/>
      <c r="B19" s="3"/>
      <c r="C19" s="3"/>
      <c r="D19" s="4" t="str">
        <f t="shared" si="0"/>
        <v/>
      </c>
      <c r="E19" s="3"/>
      <c r="F19" s="3"/>
      <c r="G19" s="3"/>
      <c r="H19" s="4" t="str">
        <f t="shared" si="1"/>
        <v/>
      </c>
      <c r="I19" s="5" t="str">
        <f t="shared" si="2"/>
        <v/>
      </c>
    </row>
    <row r="20" spans="1:9">
      <c r="A20" s="2"/>
      <c r="B20" s="3"/>
      <c r="C20" s="3"/>
      <c r="D20" s="4" t="str">
        <f t="shared" si="0"/>
        <v/>
      </c>
      <c r="E20" s="3"/>
      <c r="F20" s="3"/>
      <c r="G20" s="3"/>
      <c r="H20" s="4" t="str">
        <f t="shared" si="1"/>
        <v/>
      </c>
      <c r="I20" s="5" t="str">
        <f t="shared" si="2"/>
        <v/>
      </c>
    </row>
  </sheetData>
  <pageMargins left="0.75" right="0.75" top="1" bottom="1" header="0.5" footer="0.5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成本管理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yalla</cp:lastModifiedBy>
  <dcterms:created xsi:type="dcterms:W3CDTF">2026-02-11T15:16:00Z</dcterms:created>
  <dcterms:modified xsi:type="dcterms:W3CDTF">2026-02-11T15:17:52Z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