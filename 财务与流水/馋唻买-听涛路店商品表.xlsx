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20"/>
  </bookViews>
  <sheets>
    <sheet name="成本管理" sheetId="1" r:id="rId1"/>
  </sheets>
  <calcPr calcId="144525"/>
</workbook>
</file>

<file path=xl/sharedStrings.xml><?xml version="1.0" encoding="utf-8"?>
<sst xmlns="http://schemas.openxmlformats.org/spreadsheetml/2006/main" count="111" uniqueCount="71">
  <si>
    <t>SKU名称</t>
  </si>
  <si>
    <t>进货价格(元/500g)</t>
  </si>
  <si>
    <t>运费(元/500g)</t>
  </si>
  <si>
    <t>每份重量(g)</t>
  </si>
  <si>
    <t>成份说明</t>
  </si>
  <si>
    <t>食材成本(元/份)</t>
  </si>
  <si>
    <t>打包成本(元/份)</t>
  </si>
  <si>
    <t>调味成本(元/份)</t>
  </si>
  <si>
    <t>总成本(元/份)</t>
  </si>
  <si>
    <t>堂食价(元/份)</t>
  </si>
  <si>
    <t>毛利(元/份)</t>
  </si>
  <si>
    <t>利润率(%)</t>
  </si>
  <si>
    <t>毛利率(%)</t>
  </si>
  <si>
    <t>拇指小笼包</t>
  </si>
  <si>
    <t>小笼包</t>
  </si>
  <si>
    <t>沙县蒸饺</t>
  </si>
  <si>
    <t>蒸饺</t>
  </si>
  <si>
    <t>纯肉烤肠</t>
  </si>
  <si>
    <t>烤肠</t>
  </si>
  <si>
    <t>蜜汁鸭爪</t>
  </si>
  <si>
    <t>/</t>
  </si>
  <si>
    <t>鸭爪</t>
  </si>
  <si>
    <t>蜜汁鸡翅</t>
  </si>
  <si>
    <t>鸡翅</t>
  </si>
  <si>
    <t>烧卖3个（随机）</t>
  </si>
  <si>
    <t>烧卖</t>
  </si>
  <si>
    <t>包心鱼丸</t>
  </si>
  <si>
    <t>鱼丸</t>
  </si>
  <si>
    <t>潮汕牛肉丸</t>
  </si>
  <si>
    <t>牛丸</t>
  </si>
  <si>
    <t>可乐</t>
  </si>
  <si>
    <t>雪碧</t>
  </si>
  <si>
    <t>经典瘦肉丸(240g)</t>
  </si>
  <si>
    <t>瘦肉丸、调味品</t>
  </si>
  <si>
    <t>经典瘦肉丸(370g)</t>
  </si>
  <si>
    <t>肉筋瘦肉丸(240g)</t>
  </si>
  <si>
    <t>肉筋、调味品</t>
  </si>
  <si>
    <t>肉筋瘦肉丸(370g)</t>
  </si>
  <si>
    <t>牛蹄筋瘦肉丸(240g)</t>
  </si>
  <si>
    <t>牛蹄筋、调味品</t>
  </si>
  <si>
    <t>牛蹄筋瘦肉丸(370g)</t>
  </si>
  <si>
    <t>牛肉瘦肉丸(200g)</t>
  </si>
  <si>
    <t>牛肉羹</t>
  </si>
  <si>
    <t>牛肉瘦肉丸(240g)</t>
  </si>
  <si>
    <t>牛肉瘦肉丸(370g)</t>
  </si>
  <si>
    <t>手工肉燕（180g)</t>
  </si>
  <si>
    <t>肉燕</t>
  </si>
  <si>
    <t>燕面</t>
  </si>
  <si>
    <t>燕面+瘦肉丸</t>
  </si>
  <si>
    <t>燕面、瘦肉丸、调味品</t>
  </si>
  <si>
    <t>燕面拌瘦肉丸</t>
  </si>
  <si>
    <t>拌瘦肉丸(300g)</t>
  </si>
  <si>
    <t>酸笋瘦肉丸(240g)</t>
  </si>
  <si>
    <t>酸笋、瘦肉丸、调味品</t>
  </si>
  <si>
    <t>酸笋瘦肉丸(370g)</t>
  </si>
  <si>
    <t>金汤</t>
  </si>
  <si>
    <t>金汤酸菜瘦肉丸(240g)</t>
  </si>
  <si>
    <t>金汤、酸菜、瘦肉丸、调味品</t>
  </si>
  <si>
    <t>金汤酸菜瘦肉丸(370g)</t>
  </si>
  <si>
    <t>金汤酸菜泡面+瘦肉丸(特大份)</t>
  </si>
  <si>
    <t>金汤、酸菜、瘦肉丸、泡面、调味品</t>
  </si>
  <si>
    <t>双拼（经典+肉筋）(240g)</t>
  </si>
  <si>
    <t>瘦肉丸、肉筋、调味品</t>
  </si>
  <si>
    <t>双拼（经典+牛肉）(240g)</t>
  </si>
  <si>
    <t>瘦肉丸、牛肉瘦肉丸、调味品</t>
  </si>
  <si>
    <t>三拼（经典+牛肉+肉燕）(370g)</t>
  </si>
  <si>
    <t>瘦肉丸、肉燕、肉牛瘦肉丸、调味品</t>
  </si>
  <si>
    <t>金汤酸菜弹粉+瘦肉丸(特大份)</t>
  </si>
  <si>
    <t>金汤、酸菜、弹粉、瘦肉丸、调味品</t>
  </si>
  <si>
    <t>火鸡面拌瘦肉丸</t>
  </si>
  <si>
    <t>火鸡面、瘦肉丸、调味品</t>
  </si>
</sst>
</file>

<file path=xl/styles.xml><?xml version="1.0" encoding="utf-8"?>
<styleSheet xmlns="http://schemas.openxmlformats.org/spreadsheetml/2006/main">
  <numFmts count="7">
    <numFmt numFmtId="176" formatCode="0.000_);\(0.000\)"/>
    <numFmt numFmtId="177" formatCode="#,##0.00_ "/>
    <numFmt numFmtId="178" formatCode="0.00_);[Red]\(0.00\)"/>
    <numFmt numFmtId="44" formatCode="_ &quot;￥&quot;* #,##0.00_ ;_ &quot;￥&quot;* \-#,##0.00_ ;_ &quot;￥&quot;* &quot;-&quot;??_ ;_ @_ 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</numFmts>
  <fonts count="3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</font>
    <font>
      <b/>
      <sz val="11"/>
      <color theme="1"/>
      <name val="宋体"/>
      <charset val="134"/>
      <scheme val="minor"/>
    </font>
    <font>
      <b/>
      <sz val="11"/>
      <color rgb="FFFFFFFF"/>
      <name val="宋体"/>
      <charset val="134"/>
    </font>
    <font>
      <sz val="11"/>
      <color theme="1"/>
      <name val="Calibri"/>
      <charset val="134"/>
    </font>
    <font>
      <b/>
      <sz val="11"/>
      <name val="宋体"/>
      <charset val="134"/>
    </font>
    <font>
      <b/>
      <sz val="11"/>
      <color theme="1"/>
      <name val="宋体"/>
      <charset val="134"/>
    </font>
    <font>
      <b/>
      <sz val="11"/>
      <name val="宋体"/>
      <charset val="134"/>
    </font>
    <font>
      <sz val="11"/>
      <name val="Calibri"/>
      <charset val="134"/>
    </font>
    <font>
      <sz val="11"/>
      <color theme="1"/>
      <name val="宋体"/>
      <charset val="134"/>
    </font>
    <font>
      <b/>
      <sz val="11"/>
      <color rgb="FFFFFFFF"/>
      <name val="宋体"/>
      <charset val="134"/>
    </font>
    <font>
      <b/>
      <sz val="11"/>
      <color theme="1"/>
      <name val="Calibri"/>
      <charset val="134"/>
    </font>
    <font>
      <b/>
      <sz val="11"/>
      <name val="Calibri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9C65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theme="0" tint="-0.14996795556505"/>
        <bgColor indexed="64"/>
      </patternFill>
    </fill>
    <fill>
      <patternFill patternType="solid">
        <fgColor theme="3" tint="0.79995117038483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15" fillId="30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5" fillId="33" borderId="0" applyNumberFormat="0" applyBorder="0" applyAlignment="0" applyProtection="0">
      <alignment vertical="center"/>
    </xf>
    <xf numFmtId="0" fontId="29" fillId="29" borderId="4" applyNumberFormat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35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21" fillId="12" borderId="4" applyNumberFormat="0" applyAlignment="0" applyProtection="0">
      <alignment vertical="center"/>
    </xf>
    <xf numFmtId="0" fontId="15" fillId="36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24" fillId="15" borderId="6" applyNumberFormat="0" applyAlignment="0" applyProtection="0">
      <alignment vertical="center"/>
    </xf>
    <xf numFmtId="0" fontId="25" fillId="12" borderId="7" applyNumberFormat="0" applyAlignment="0" applyProtection="0">
      <alignment vertical="center"/>
    </xf>
    <xf numFmtId="0" fontId="23" fillId="0" borderId="5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0" fillId="10" borderId="3" applyNumberFormat="0" applyFont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5" fillId="25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6" fillId="0" borderId="5" applyNumberFormat="0" applyFill="0" applyAlignment="0" applyProtection="0">
      <alignment vertical="center"/>
    </xf>
    <xf numFmtId="0" fontId="14" fillId="32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4" fillId="6" borderId="0" applyNumberFormat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</cellStyleXfs>
  <cellXfs count="32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178" fontId="0" fillId="0" borderId="0" xfId="0" applyNumberFormat="1" applyAlignment="1">
      <alignment horizontal="center" wrapText="1"/>
    </xf>
    <xf numFmtId="3" fontId="0" fillId="0" borderId="0" xfId="0" applyNumberFormat="1" applyAlignment="1">
      <alignment horizontal="center" wrapText="1"/>
    </xf>
    <xf numFmtId="4" fontId="0" fillId="0" borderId="0" xfId="0" applyNumberFormat="1" applyAlignment="1">
      <alignment horizontal="center" wrapText="1"/>
    </xf>
    <xf numFmtId="4" fontId="2" fillId="0" borderId="0" xfId="0" applyNumberFormat="1" applyFont="1" applyAlignment="1">
      <alignment horizontal="center" wrapText="1"/>
    </xf>
    <xf numFmtId="177" fontId="0" fillId="0" borderId="0" xfId="0" applyNumberFormat="1" applyAlignment="1">
      <alignment horizontal="center" wrapText="1"/>
    </xf>
    <xf numFmtId="0" fontId="3" fillId="2" borderId="1" xfId="0" applyFont="1" applyFill="1" applyBorder="1" applyAlignment="1">
      <alignment horizontal="center" wrapText="1"/>
    </xf>
    <xf numFmtId="178" fontId="3" fillId="2" borderId="1" xfId="0" applyNumberFormat="1" applyFont="1" applyFill="1" applyBorder="1" applyAlignment="1">
      <alignment horizontal="center" wrapText="1"/>
    </xf>
    <xf numFmtId="3" fontId="3" fillId="2" borderId="1" xfId="0" applyNumberFormat="1" applyFont="1" applyFill="1" applyBorder="1" applyAlignment="1">
      <alignment horizontal="center" wrapText="1"/>
    </xf>
    <xf numFmtId="0" fontId="1" fillId="0" borderId="1" xfId="0" applyFont="1" applyBorder="1" applyAlignment="1">
      <alignment horizontal="center" vertical="center"/>
    </xf>
    <xf numFmtId="178" fontId="4" fillId="3" borderId="1" xfId="0" applyNumberFormat="1" applyFont="1" applyFill="1" applyBorder="1" applyAlignment="1">
      <alignment horizontal="center" vertical="center" wrapText="1"/>
    </xf>
    <xf numFmtId="3" fontId="4" fillId="3" borderId="1" xfId="0" applyNumberFormat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3" fontId="8" fillId="3" borderId="1" xfId="0" applyNumberFormat="1" applyFont="1" applyFill="1" applyBorder="1" applyAlignment="1">
      <alignment horizontal="center" vertical="center" wrapText="1"/>
    </xf>
    <xf numFmtId="178" fontId="8" fillId="3" borderId="1" xfId="0" applyNumberFormat="1" applyFont="1" applyFill="1" applyBorder="1" applyAlignment="1">
      <alignment horizontal="center" vertical="center" wrapText="1"/>
    </xf>
    <xf numFmtId="4" fontId="3" fillId="2" borderId="1" xfId="0" applyNumberFormat="1" applyFont="1" applyFill="1" applyBorder="1" applyAlignment="1">
      <alignment horizontal="center" wrapText="1"/>
    </xf>
    <xf numFmtId="3" fontId="9" fillId="3" borderId="1" xfId="0" applyNumberFormat="1" applyFont="1" applyFill="1" applyBorder="1" applyAlignment="1">
      <alignment horizontal="center" vertical="center" wrapText="1"/>
    </xf>
    <xf numFmtId="4" fontId="4" fillId="4" borderId="1" xfId="0" applyNumberFormat="1" applyFont="1" applyFill="1" applyBorder="1" applyAlignment="1">
      <alignment horizontal="center" vertical="center" wrapText="1"/>
    </xf>
    <xf numFmtId="176" fontId="4" fillId="4" borderId="1" xfId="0" applyNumberFormat="1" applyFont="1" applyFill="1" applyBorder="1" applyAlignment="1">
      <alignment horizontal="center" vertical="center" wrapText="1"/>
    </xf>
    <xf numFmtId="176" fontId="8" fillId="4" borderId="1" xfId="0" applyNumberFormat="1" applyFont="1" applyFill="1" applyBorder="1" applyAlignment="1">
      <alignment horizontal="center" vertical="center" wrapText="1"/>
    </xf>
    <xf numFmtId="4" fontId="10" fillId="2" borderId="1" xfId="0" applyNumberFormat="1" applyFont="1" applyFill="1" applyBorder="1" applyAlignment="1">
      <alignment horizontal="center" wrapText="1"/>
    </xf>
    <xf numFmtId="177" fontId="3" fillId="2" borderId="1" xfId="0" applyNumberFormat="1" applyFont="1" applyFill="1" applyBorder="1" applyAlignment="1">
      <alignment horizontal="center" wrapText="1"/>
    </xf>
    <xf numFmtId="4" fontId="11" fillId="4" borderId="1" xfId="0" applyNumberFormat="1" applyFont="1" applyFill="1" applyBorder="1" applyAlignment="1">
      <alignment horizontal="center" vertical="center" wrapText="1"/>
    </xf>
    <xf numFmtId="177" fontId="4" fillId="4" borderId="1" xfId="0" applyNumberFormat="1" applyFont="1" applyFill="1" applyBorder="1" applyAlignment="1">
      <alignment horizontal="center" vertical="center" wrapText="1"/>
    </xf>
    <xf numFmtId="4" fontId="4" fillId="5" borderId="1" xfId="0" applyNumberFormat="1" applyFont="1" applyFill="1" applyBorder="1" applyAlignment="1">
      <alignment horizontal="center" vertical="center" wrapText="1"/>
    </xf>
    <xf numFmtId="176" fontId="11" fillId="4" borderId="1" xfId="0" applyNumberFormat="1" applyFont="1" applyFill="1" applyBorder="1" applyAlignment="1">
      <alignment horizontal="center" vertical="center" wrapText="1"/>
    </xf>
    <xf numFmtId="176" fontId="4" fillId="5" borderId="1" xfId="0" applyNumberFormat="1" applyFont="1" applyFill="1" applyBorder="1" applyAlignment="1">
      <alignment horizontal="center" vertical="center" wrapText="1"/>
    </xf>
    <xf numFmtId="176" fontId="12" fillId="4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13">
    <dxf>
      <font>
        <name val="宋体"/>
        <scheme val="none"/>
        <charset val="134"/>
        <b val="1"/>
        <strike val="0"/>
        <u val="none"/>
        <sz val="11"/>
      </font>
      <alignment horizontal="center" vertical="center"/>
      <border>
        <right style="thin">
          <color rgb="FF000000"/>
        </right>
      </border>
    </dxf>
    <dxf>
      <numFmt numFmtId="178" formatCode="0.00_);[Red]\(0.00\)"/>
      <fill>
        <patternFill patternType="solid">
          <bgColor theme="0" tint="-0.14996795556505"/>
        </patternFill>
      </fill>
      <alignment horizontal="center" vertical="center"/>
      <border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178" formatCode="0.00_);[Red]\(0.00\)"/>
      <fill>
        <patternFill patternType="solid">
          <bgColor theme="0" tint="-0.14996795556505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0" tint="-0.14996795556505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3" formatCode="#,##0"/>
      <fill>
        <patternFill patternType="solid">
          <bgColor theme="0" tint="-0.14996795556505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3" tint="0.799951170384838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ill>
        <patternFill patternType="solid">
          <bgColor theme="3" tint="0.799951170384838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ill>
        <patternFill patternType="solid">
          <bgColor theme="3" tint="0.799951170384838"/>
        </patternFill>
      </fill>
      <alignment horizontal="center" vertical="center"/>
      <border>
        <left style="thin">
          <color rgb="FF000000"/>
        </left>
        <right/>
      </border>
    </dxf>
    <dxf>
      <font>
        <name val="Calibri"/>
        <scheme val="none"/>
        <family val="2"/>
        <b val="1"/>
        <i val="0"/>
        <strike val="0"/>
        <u val="none"/>
        <sz val="11"/>
        <color theme="1"/>
      </font>
      <numFmt numFmtId="4" formatCode="#,##0.00"/>
      <fill>
        <patternFill patternType="solid">
          <bgColor theme="3" tint="0.799951170384838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77" formatCode="#,##0.00_ "/>
      <fill>
        <patternFill patternType="solid">
          <bgColor theme="3" tint="0.799951170384838"/>
        </patternFill>
      </fill>
      <alignment horizontal="center" vertical="center"/>
      <border>
        <left/>
        <right style="thin">
          <color rgb="FF000000"/>
        </right>
      </border>
    </dxf>
    <dxf>
      <fill>
        <patternFill patternType="solid">
          <bgColor rgb="FFFFFF00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4" formatCode="#,##0.00"/>
      <fill>
        <patternFill patternType="solid">
          <bgColor rgb="FFFFFF00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rgb="FFFFFF00"/>
        </patternFill>
      </fill>
      <alignment horizontal="center" vertical="center"/>
      <border>
        <left style="thin">
          <color rgb="FF000000"/>
        </left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SKUTable" displayName="SKUTable" ref="A1:M36" totalsRowShown="0">
  <autoFilter ref="A1:M36"/>
  <tableColumns count="13">
    <tableColumn id="1" name="SKU名称" dataDxfId="0"/>
    <tableColumn id="2" name="进货价格(元/500g)" dataDxfId="1"/>
    <tableColumn id="11" name="运费(元/500g)" dataDxfId="2"/>
    <tableColumn id="3" name="每份重量(g)" dataDxfId="3"/>
    <tableColumn id="10" name="成份说明" dataDxfId="4"/>
    <tableColumn id="4" name="食材成本(元/份)" dataDxfId="5"/>
    <tableColumn id="5" name="打包成本(元/份)" dataDxfId="6"/>
    <tableColumn id="6" name="调味成本(元/份)" dataDxfId="7"/>
    <tableColumn id="12" name="总成本(元/份)" dataDxfId="8"/>
    <tableColumn id="7" name="堂食价(元/份)" dataDxfId="9"/>
    <tableColumn id="8" name="毛利(元/份)" dataDxfId="10"/>
    <tableColumn id="13" name="利润率(%)" dataDxfId="11"/>
    <tableColumn id="9" name="毛利率(%)" dataDxfId="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M40"/>
  <sheetViews>
    <sheetView tabSelected="1" workbookViewId="0">
      <pane ySplit="1" topLeftCell="A3" activePane="bottomLeft" state="frozen"/>
      <selection/>
      <selection pane="bottomLeft" activeCell="L1" sqref="L1"/>
    </sheetView>
  </sheetViews>
  <sheetFormatPr defaultColWidth="9" defaultRowHeight="16.8"/>
  <cols>
    <col min="1" max="1" width="30.5" style="2" customWidth="1"/>
    <col min="2" max="2" width="14" style="3" customWidth="1"/>
    <col min="3" max="3" width="20.25" style="3" customWidth="1"/>
    <col min="4" max="4" width="23.875" style="4" customWidth="1"/>
    <col min="5" max="5" width="33.5" style="4" customWidth="1"/>
    <col min="6" max="6" width="18.5865384615385" style="5" customWidth="1"/>
    <col min="7" max="7" width="19.2307692307692" style="5" customWidth="1"/>
    <col min="8" max="8" width="18.5865384615385" style="5" customWidth="1"/>
    <col min="9" max="9" width="19.0673076923077" style="6" customWidth="1"/>
    <col min="10" max="10" width="17.9519230769231" style="7" customWidth="1"/>
    <col min="11" max="11" width="16.75" style="5" customWidth="1"/>
    <col min="12" max="12" width="17.625" style="5" customWidth="1"/>
    <col min="13" max="13" width="14.75" style="5" customWidth="1"/>
  </cols>
  <sheetData>
    <row r="1" s="1" customFormat="1" ht="29.25" customHeight="1" spans="1:13">
      <c r="A1" s="8" t="s">
        <v>0</v>
      </c>
      <c r="B1" s="9" t="s">
        <v>1</v>
      </c>
      <c r="C1" s="9" t="s">
        <v>2</v>
      </c>
      <c r="D1" s="10" t="s">
        <v>3</v>
      </c>
      <c r="E1" s="10" t="s">
        <v>4</v>
      </c>
      <c r="F1" s="19" t="s">
        <v>5</v>
      </c>
      <c r="G1" s="19" t="s">
        <v>6</v>
      </c>
      <c r="H1" s="19" t="s">
        <v>7</v>
      </c>
      <c r="I1" s="24" t="s">
        <v>8</v>
      </c>
      <c r="J1" s="25" t="s">
        <v>9</v>
      </c>
      <c r="K1" s="19" t="s">
        <v>10</v>
      </c>
      <c r="L1" s="19" t="s">
        <v>11</v>
      </c>
      <c r="M1" s="19" t="s">
        <v>12</v>
      </c>
    </row>
    <row r="2" ht="20.25" customHeight="1" spans="1:13">
      <c r="A2" s="11" t="s">
        <v>13</v>
      </c>
      <c r="B2" s="12">
        <v>11</v>
      </c>
      <c r="C2" s="12">
        <v>0.3</v>
      </c>
      <c r="D2" s="13">
        <v>120</v>
      </c>
      <c r="E2" s="20" t="s">
        <v>14</v>
      </c>
      <c r="F2" s="21">
        <f>(B2+SKUTable[[#This Row],[运费(元/500g)]])*D2/500</f>
        <v>2.712</v>
      </c>
      <c r="G2" s="21">
        <v>0.02</v>
      </c>
      <c r="H2" s="21">
        <v>0.15</v>
      </c>
      <c r="I2" s="26">
        <f>SUM(SKUTable[[#This Row],[食材成本(元/份)]:[调味成本(元/份)]])</f>
        <v>2.882</v>
      </c>
      <c r="J2" s="27">
        <v>8</v>
      </c>
      <c r="K2" s="28">
        <f>J2-(F2+G2+H2)</f>
        <v>5.118</v>
      </c>
      <c r="L2" s="28">
        <f>SKUTable[[#This Row],[毛利(元/份)]]/SKUTable[[#This Row],[总成本(元/份)]]*100</f>
        <v>177.585010409438</v>
      </c>
      <c r="M2" s="28">
        <f>(J2-(F2+G2+H2))/J2*100</f>
        <v>63.975</v>
      </c>
    </row>
    <row r="3" ht="20.25" customHeight="1" spans="1:13">
      <c r="A3" s="11" t="s">
        <v>15</v>
      </c>
      <c r="B3" s="12"/>
      <c r="C3" s="12"/>
      <c r="D3" s="13">
        <v>220</v>
      </c>
      <c r="E3" s="20" t="s">
        <v>16</v>
      </c>
      <c r="F3" s="21">
        <v>2.45</v>
      </c>
      <c r="G3" s="21">
        <v>0.02</v>
      </c>
      <c r="H3" s="21">
        <v>0.15</v>
      </c>
      <c r="I3" s="26">
        <f>SUM(SKUTable[[#This Row],[食材成本(元/份)]:[调味成本(元/份)]])</f>
        <v>2.62</v>
      </c>
      <c r="J3" s="27">
        <v>8</v>
      </c>
      <c r="K3" s="28">
        <f>J3-(F3+G3+H3)</f>
        <v>5.38</v>
      </c>
      <c r="L3" s="28">
        <f>SKUTable[[#This Row],[毛利(元/份)]]/SKUTable[[#This Row],[总成本(元/份)]]*100</f>
        <v>205.343511450382</v>
      </c>
      <c r="M3" s="28">
        <f>(J3-(F3+G3+H3))/J3*100</f>
        <v>67.25</v>
      </c>
    </row>
    <row r="4" ht="20.25" customHeight="1" spans="1:13">
      <c r="A4" s="11" t="s">
        <v>17</v>
      </c>
      <c r="B4" s="12">
        <v>8.8</v>
      </c>
      <c r="C4" s="12">
        <v>0</v>
      </c>
      <c r="D4" s="13">
        <v>70</v>
      </c>
      <c r="E4" s="20" t="s">
        <v>18</v>
      </c>
      <c r="F4" s="21">
        <f>(B4+SKUTable[[#This Row],[运费(元/500g)]])*D4/500</f>
        <v>1.232</v>
      </c>
      <c r="G4" s="21">
        <v>0.05</v>
      </c>
      <c r="H4" s="21">
        <v>0</v>
      </c>
      <c r="I4" s="26">
        <f>SUM(SKUTable[[#This Row],[食材成本(元/份)]:[调味成本(元/份)]])</f>
        <v>1.282</v>
      </c>
      <c r="J4" s="27">
        <v>4</v>
      </c>
      <c r="K4" s="28">
        <f t="shared" ref="K4:K36" si="0">J4-(F4+G4+H4)</f>
        <v>2.718</v>
      </c>
      <c r="L4" s="28">
        <f>SKUTable[[#This Row],[毛利(元/份)]]/SKUTable[[#This Row],[总成本(元/份)]]*100</f>
        <v>212.01248049922</v>
      </c>
      <c r="M4" s="28">
        <f t="shared" ref="M4:M36" si="1">(J4-(F4+G4+H4))/J4*100</f>
        <v>67.95</v>
      </c>
    </row>
    <row r="5" ht="20.25" customHeight="1" spans="1:13">
      <c r="A5" s="11" t="s">
        <v>19</v>
      </c>
      <c r="B5" s="12" t="s">
        <v>20</v>
      </c>
      <c r="C5" s="12" t="s">
        <v>20</v>
      </c>
      <c r="D5" s="12" t="s">
        <v>20</v>
      </c>
      <c r="E5" s="20" t="s">
        <v>21</v>
      </c>
      <c r="F5" s="21">
        <v>2</v>
      </c>
      <c r="G5" s="21">
        <v>0.02</v>
      </c>
      <c r="H5" s="21">
        <v>0</v>
      </c>
      <c r="I5" s="26">
        <f>SUM(SKUTable[[#This Row],[食材成本(元/份)]:[调味成本(元/份)]])</f>
        <v>2.02</v>
      </c>
      <c r="J5" s="27">
        <v>5</v>
      </c>
      <c r="K5" s="28">
        <f t="shared" si="0"/>
        <v>2.98</v>
      </c>
      <c r="L5" s="28">
        <f>SKUTable[[#This Row],[毛利(元/份)]]/SKUTable[[#This Row],[总成本(元/份)]]*100</f>
        <v>147.524752475248</v>
      </c>
      <c r="M5" s="28">
        <f t="shared" si="1"/>
        <v>59.6</v>
      </c>
    </row>
    <row r="6" ht="20.25" customHeight="1" spans="1:13">
      <c r="A6" s="11" t="s">
        <v>22</v>
      </c>
      <c r="B6" s="12" t="s">
        <v>20</v>
      </c>
      <c r="C6" s="12" t="s">
        <v>20</v>
      </c>
      <c r="D6" s="12" t="s">
        <v>20</v>
      </c>
      <c r="E6" s="20" t="s">
        <v>23</v>
      </c>
      <c r="F6" s="21">
        <v>5</v>
      </c>
      <c r="G6" s="21">
        <v>0.02</v>
      </c>
      <c r="H6" s="21">
        <v>0</v>
      </c>
      <c r="I6" s="26">
        <f>SUM(SKUTable[[#This Row],[食材成本(元/份)]:[调味成本(元/份)]])</f>
        <v>5.02</v>
      </c>
      <c r="J6" s="27">
        <v>8</v>
      </c>
      <c r="K6" s="28">
        <f t="shared" si="0"/>
        <v>2.98</v>
      </c>
      <c r="L6" s="28">
        <f>SKUTable[[#This Row],[毛利(元/份)]]/SKUTable[[#This Row],[总成本(元/份)]]*100</f>
        <v>59.3625498007968</v>
      </c>
      <c r="M6" s="28">
        <f t="shared" si="1"/>
        <v>37.25</v>
      </c>
    </row>
    <row r="7" ht="20.25" customHeight="1" spans="1:13">
      <c r="A7" s="14" t="s">
        <v>24</v>
      </c>
      <c r="B7" s="12" t="s">
        <v>20</v>
      </c>
      <c r="C7" s="12" t="s">
        <v>20</v>
      </c>
      <c r="D7" s="12" t="s">
        <v>20</v>
      </c>
      <c r="E7" s="20" t="s">
        <v>25</v>
      </c>
      <c r="F7" s="22">
        <v>3.24</v>
      </c>
      <c r="G7" s="22">
        <v>0</v>
      </c>
      <c r="H7" s="22">
        <v>0</v>
      </c>
      <c r="I7" s="29">
        <f>SUM(SKUTable[[#This Row],[食材成本(元/份)]:[调味成本(元/份)]])</f>
        <v>3.24</v>
      </c>
      <c r="J7" s="22">
        <v>8</v>
      </c>
      <c r="K7" s="30">
        <f t="shared" si="0"/>
        <v>4.76</v>
      </c>
      <c r="L7" s="30">
        <f>SKUTable[[#This Row],[毛利(元/份)]]/SKUTable[[#This Row],[总成本(元/份)]]*100</f>
        <v>146.913580246914</v>
      </c>
      <c r="M7" s="30">
        <f t="shared" si="1"/>
        <v>59.5</v>
      </c>
    </row>
    <row r="8" ht="20.25" customHeight="1" spans="1:13">
      <c r="A8" s="14" t="s">
        <v>26</v>
      </c>
      <c r="B8" s="12" t="s">
        <v>20</v>
      </c>
      <c r="C8" s="12" t="s">
        <v>20</v>
      </c>
      <c r="D8" s="12" t="s">
        <v>20</v>
      </c>
      <c r="E8" s="20" t="s">
        <v>27</v>
      </c>
      <c r="F8" s="22">
        <v>0.4</v>
      </c>
      <c r="G8" s="22">
        <v>0</v>
      </c>
      <c r="H8" s="22">
        <v>0</v>
      </c>
      <c r="I8" s="29">
        <f>SUM(SKUTable[[#This Row],[食材成本(元/份)]:[调味成本(元/份)]])</f>
        <v>0.4</v>
      </c>
      <c r="J8" s="22">
        <v>1.25</v>
      </c>
      <c r="K8" s="30">
        <f t="shared" si="0"/>
        <v>0.85</v>
      </c>
      <c r="L8" s="30">
        <f>SKUTable[[#This Row],[毛利(元/份)]]/SKUTable[[#This Row],[总成本(元/份)]]*100</f>
        <v>212.5</v>
      </c>
      <c r="M8" s="30">
        <f t="shared" si="1"/>
        <v>68</v>
      </c>
    </row>
    <row r="9" ht="20.25" customHeight="1" spans="1:13">
      <c r="A9" s="11" t="s">
        <v>28</v>
      </c>
      <c r="B9" s="12" t="s">
        <v>20</v>
      </c>
      <c r="C9" s="12" t="s">
        <v>20</v>
      </c>
      <c r="D9" s="12" t="s">
        <v>20</v>
      </c>
      <c r="E9" s="20" t="s">
        <v>29</v>
      </c>
      <c r="F9" s="22">
        <v>0.45</v>
      </c>
      <c r="G9" s="22">
        <v>0</v>
      </c>
      <c r="H9" s="22">
        <v>0</v>
      </c>
      <c r="I9" s="29">
        <f>SUM(SKUTable[[#This Row],[食材成本(元/份)]:[调味成本(元/份)]])</f>
        <v>0.45</v>
      </c>
      <c r="J9" s="22">
        <v>1.25</v>
      </c>
      <c r="K9" s="30">
        <f t="shared" si="0"/>
        <v>0.8</v>
      </c>
      <c r="L9" s="30">
        <f>SKUTable[[#This Row],[毛利(元/份)]]/SKUTable[[#This Row],[总成本(元/份)]]*100</f>
        <v>177.777777777778</v>
      </c>
      <c r="M9" s="30">
        <f t="shared" si="1"/>
        <v>64</v>
      </c>
    </row>
    <row r="10" ht="20.25" customHeight="1" spans="1:13">
      <c r="A10" s="11" t="s">
        <v>30</v>
      </c>
      <c r="B10" s="12" t="s">
        <v>20</v>
      </c>
      <c r="C10" s="12" t="s">
        <v>20</v>
      </c>
      <c r="D10" s="12" t="s">
        <v>20</v>
      </c>
      <c r="E10" s="20" t="s">
        <v>30</v>
      </c>
      <c r="F10" s="22">
        <v>1.37</v>
      </c>
      <c r="G10" s="22">
        <v>0</v>
      </c>
      <c r="H10" s="22">
        <v>0</v>
      </c>
      <c r="I10" s="29">
        <f>SUM(SKUTable[[#This Row],[食材成本(元/份)]:[调味成本(元/份)]])</f>
        <v>1.37</v>
      </c>
      <c r="J10" s="22">
        <v>2</v>
      </c>
      <c r="K10" s="30">
        <f t="shared" si="0"/>
        <v>0.63</v>
      </c>
      <c r="L10" s="30">
        <f>SKUTable[[#This Row],[毛利(元/份)]]/SKUTable[[#This Row],[总成本(元/份)]]*100</f>
        <v>45.985401459854</v>
      </c>
      <c r="M10" s="30">
        <f t="shared" si="1"/>
        <v>31.5</v>
      </c>
    </row>
    <row r="11" ht="20.25" customHeight="1" spans="1:13">
      <c r="A11" s="11" t="s">
        <v>31</v>
      </c>
      <c r="B11" s="12" t="s">
        <v>20</v>
      </c>
      <c r="C11" s="12" t="s">
        <v>20</v>
      </c>
      <c r="D11" s="12" t="s">
        <v>20</v>
      </c>
      <c r="E11" s="20" t="s">
        <v>31</v>
      </c>
      <c r="F11" s="22">
        <v>1.37</v>
      </c>
      <c r="G11" s="22">
        <v>0</v>
      </c>
      <c r="H11" s="22">
        <v>0</v>
      </c>
      <c r="I11" s="29">
        <f>SUM(SKUTable[[#This Row],[食材成本(元/份)]:[调味成本(元/份)]])</f>
        <v>1.37</v>
      </c>
      <c r="J11" s="22">
        <v>2</v>
      </c>
      <c r="K11" s="30">
        <f t="shared" si="0"/>
        <v>0.63</v>
      </c>
      <c r="L11" s="30">
        <f>SKUTable[[#This Row],[毛利(元/份)]]/SKUTable[[#This Row],[总成本(元/份)]]*100</f>
        <v>45.985401459854</v>
      </c>
      <c r="M11" s="30">
        <f t="shared" si="1"/>
        <v>31.5</v>
      </c>
    </row>
    <row r="12" ht="20.25" customHeight="1" spans="1:13">
      <c r="A12" s="15" t="s">
        <v>32</v>
      </c>
      <c r="B12" s="12">
        <v>9.09</v>
      </c>
      <c r="C12" s="12">
        <v>0.3</v>
      </c>
      <c r="D12" s="13">
        <v>165</v>
      </c>
      <c r="E12" s="20" t="s">
        <v>33</v>
      </c>
      <c r="F12" s="22">
        <f>(B12+SKUTable[[#This Row],[运费(元/500g)]])*D12/500</f>
        <v>3.0987</v>
      </c>
      <c r="G12" s="22">
        <v>0.685</v>
      </c>
      <c r="H12" s="22">
        <v>0.2</v>
      </c>
      <c r="I12" s="29">
        <f>SUM(SKUTable[[#This Row],[食材成本(元/份)]:[调味成本(元/份)]])</f>
        <v>3.9837</v>
      </c>
      <c r="J12" s="22">
        <v>12</v>
      </c>
      <c r="K12" s="30">
        <f t="shared" si="0"/>
        <v>8.0163</v>
      </c>
      <c r="L12" s="30">
        <f>SKUTable[[#This Row],[毛利(元/份)]]/SKUTable[[#This Row],[总成本(元/份)]]*100</f>
        <v>201.227502070939</v>
      </c>
      <c r="M12" s="30">
        <f t="shared" si="1"/>
        <v>66.8025</v>
      </c>
    </row>
    <row r="13" ht="20.25" customHeight="1" spans="1:13">
      <c r="A13" s="15" t="s">
        <v>34</v>
      </c>
      <c r="B13" s="12">
        <v>9.09</v>
      </c>
      <c r="C13" s="12">
        <v>0.3</v>
      </c>
      <c r="D13" s="13">
        <v>260</v>
      </c>
      <c r="E13" s="20" t="s">
        <v>33</v>
      </c>
      <c r="F13" s="22">
        <f>(B13+SKUTable[[#This Row],[运费(元/500g)]])*D13/500</f>
        <v>4.8828</v>
      </c>
      <c r="G13" s="22">
        <v>0.82</v>
      </c>
      <c r="H13" s="22">
        <v>0.2</v>
      </c>
      <c r="I13" s="29">
        <f>SUM(SKUTable[[#This Row],[食材成本(元/份)]:[调味成本(元/份)]])</f>
        <v>5.9028</v>
      </c>
      <c r="J13" s="22">
        <v>16</v>
      </c>
      <c r="K13" s="30">
        <f t="shared" si="0"/>
        <v>10.0972</v>
      </c>
      <c r="L13" s="30">
        <f>SKUTable[[#This Row],[毛利(元/份)]]/SKUTable[[#This Row],[总成本(元/份)]]*100</f>
        <v>171.057803076506</v>
      </c>
      <c r="M13" s="30">
        <f t="shared" si="1"/>
        <v>63.1075</v>
      </c>
    </row>
    <row r="14" ht="18.75" customHeight="1" spans="1:13">
      <c r="A14" s="15" t="s">
        <v>35</v>
      </c>
      <c r="B14" s="12">
        <v>10</v>
      </c>
      <c r="C14" s="12">
        <v>0.3</v>
      </c>
      <c r="D14" s="13">
        <v>165</v>
      </c>
      <c r="E14" s="20" t="s">
        <v>36</v>
      </c>
      <c r="F14" s="22">
        <f>IF(B14&lt;&gt;"",B14*D14/500,"")</f>
        <v>3.3</v>
      </c>
      <c r="G14" s="22">
        <v>0.685</v>
      </c>
      <c r="H14" s="22">
        <v>0.2</v>
      </c>
      <c r="I14" s="29">
        <f>SUM(SKUTable[[#This Row],[食材成本(元/份)]:[调味成本(元/份)]])</f>
        <v>4.185</v>
      </c>
      <c r="J14" s="22">
        <v>14</v>
      </c>
      <c r="K14" s="30">
        <f t="shared" si="0"/>
        <v>9.815</v>
      </c>
      <c r="L14" s="30">
        <f>SKUTable[[#This Row],[毛利(元/份)]]/SKUTable[[#This Row],[总成本(元/份)]]*100</f>
        <v>234.52807646356</v>
      </c>
      <c r="M14" s="30">
        <f t="shared" si="1"/>
        <v>70.1071428571429</v>
      </c>
    </row>
    <row r="15" ht="18.75" customHeight="1" spans="1:13">
      <c r="A15" s="15" t="s">
        <v>37</v>
      </c>
      <c r="B15" s="12">
        <v>10</v>
      </c>
      <c r="C15" s="12">
        <v>0.3</v>
      </c>
      <c r="D15" s="13">
        <v>260</v>
      </c>
      <c r="E15" s="20" t="s">
        <v>36</v>
      </c>
      <c r="F15" s="22">
        <f>IF(B15&lt;&gt;"",B15*D15/500,"")</f>
        <v>5.2</v>
      </c>
      <c r="G15" s="22">
        <v>0.82</v>
      </c>
      <c r="H15" s="22">
        <v>0.2</v>
      </c>
      <c r="I15" s="29">
        <f>SUM(SKUTable[[#This Row],[食材成本(元/份)]:[调味成本(元/份)]])</f>
        <v>6.22</v>
      </c>
      <c r="J15" s="22">
        <v>18</v>
      </c>
      <c r="K15" s="30">
        <f t="shared" si="0"/>
        <v>11.78</v>
      </c>
      <c r="L15" s="30">
        <f>SKUTable[[#This Row],[毛利(元/份)]]/SKUTable[[#This Row],[总成本(元/份)]]*100</f>
        <v>189.389067524116</v>
      </c>
      <c r="M15" s="30">
        <f t="shared" si="1"/>
        <v>65.4444444444444</v>
      </c>
    </row>
    <row r="16" ht="18.75" customHeight="1" spans="1:13">
      <c r="A16" s="15" t="s">
        <v>38</v>
      </c>
      <c r="B16" s="12">
        <v>12.5</v>
      </c>
      <c r="C16" s="12">
        <v>0.3</v>
      </c>
      <c r="D16" s="13">
        <v>165</v>
      </c>
      <c r="E16" s="20" t="s">
        <v>39</v>
      </c>
      <c r="F16" s="22">
        <f>IF(B16&lt;&gt;"",B16*D16/500,"")</f>
        <v>4.125</v>
      </c>
      <c r="G16" s="22">
        <v>0.685</v>
      </c>
      <c r="H16" s="22">
        <v>0.2</v>
      </c>
      <c r="I16" s="29">
        <f>SUM(SKUTable[[#This Row],[食材成本(元/份)]:[调味成本(元/份)]])</f>
        <v>5.01</v>
      </c>
      <c r="J16" s="22">
        <v>15</v>
      </c>
      <c r="K16" s="30">
        <f t="shared" si="0"/>
        <v>9.99</v>
      </c>
      <c r="L16" s="30">
        <f>SKUTable[[#This Row],[毛利(元/份)]]/SKUTable[[#This Row],[总成本(元/份)]]*100</f>
        <v>199.40119760479</v>
      </c>
      <c r="M16" s="30">
        <f t="shared" si="1"/>
        <v>66.6</v>
      </c>
    </row>
    <row r="17" ht="18.75" customHeight="1" spans="1:13">
      <c r="A17" s="15" t="s">
        <v>40</v>
      </c>
      <c r="B17" s="12">
        <v>12.5</v>
      </c>
      <c r="C17" s="12">
        <v>0.3</v>
      </c>
      <c r="D17" s="13">
        <v>260</v>
      </c>
      <c r="E17" s="20" t="s">
        <v>39</v>
      </c>
      <c r="F17" s="22">
        <f>IF(B17&lt;&gt;"",B17*D17/500,"")</f>
        <v>6.5</v>
      </c>
      <c r="G17" s="22">
        <v>0.82</v>
      </c>
      <c r="H17" s="22">
        <v>0.2</v>
      </c>
      <c r="I17" s="29">
        <f>SUM(SKUTable[[#This Row],[食材成本(元/份)]:[调味成本(元/份)]])</f>
        <v>7.52</v>
      </c>
      <c r="J17" s="22">
        <v>20</v>
      </c>
      <c r="K17" s="30">
        <f t="shared" si="0"/>
        <v>12.48</v>
      </c>
      <c r="L17" s="30">
        <f>SKUTable[[#This Row],[毛利(元/份)]]/SKUTable[[#This Row],[总成本(元/份)]]*100</f>
        <v>165.957446808511</v>
      </c>
      <c r="M17" s="30">
        <f t="shared" si="1"/>
        <v>62.4</v>
      </c>
    </row>
    <row r="18" ht="18.75" customHeight="1" spans="1:13">
      <c r="A18" s="16" t="s">
        <v>41</v>
      </c>
      <c r="B18" s="12">
        <v>17</v>
      </c>
      <c r="C18" s="12">
        <v>0.3</v>
      </c>
      <c r="D18" s="13">
        <v>135</v>
      </c>
      <c r="E18" s="20" t="s">
        <v>42</v>
      </c>
      <c r="F18" s="22">
        <f t="shared" ref="F18" si="2">IF(B18&lt;&gt;"",B18*D18/500,"")</f>
        <v>4.59</v>
      </c>
      <c r="G18" s="22">
        <v>0.685</v>
      </c>
      <c r="H18" s="22">
        <v>0.2</v>
      </c>
      <c r="I18" s="29">
        <f>SUM(SKUTable[[#This Row],[食材成本(元/份)]:[调味成本(元/份)]])</f>
        <v>5.475</v>
      </c>
      <c r="J18" s="22">
        <v>15</v>
      </c>
      <c r="K18" s="30">
        <f t="shared" ref="K18" si="3">J18-(F18+G18+H18)</f>
        <v>9.525</v>
      </c>
      <c r="L18" s="30">
        <f>SKUTable[[#This Row],[毛利(元/份)]]/SKUTable[[#This Row],[总成本(元/份)]]*100</f>
        <v>173.972602739726</v>
      </c>
      <c r="M18" s="30">
        <f t="shared" ref="M18" si="4">(J18-(F18+G18+H18))/J18*100</f>
        <v>63.5</v>
      </c>
    </row>
    <row r="19" ht="18.75" customHeight="1" spans="1:13">
      <c r="A19" s="16" t="s">
        <v>43</v>
      </c>
      <c r="B19" s="12">
        <v>17</v>
      </c>
      <c r="C19" s="12">
        <v>0.3</v>
      </c>
      <c r="D19" s="13">
        <v>165</v>
      </c>
      <c r="E19" s="20" t="s">
        <v>42</v>
      </c>
      <c r="F19" s="22">
        <f t="shared" ref="F19:F35" si="5">IF(B19&lt;&gt;"",B19*D19/500,"")</f>
        <v>5.61</v>
      </c>
      <c r="G19" s="22">
        <v>0.685</v>
      </c>
      <c r="H19" s="22">
        <v>0.2</v>
      </c>
      <c r="I19" s="29">
        <f>SUM(SKUTable[[#This Row],[食材成本(元/份)]:[调味成本(元/份)]])</f>
        <v>6.495</v>
      </c>
      <c r="J19" s="22">
        <v>20</v>
      </c>
      <c r="K19" s="30">
        <f t="shared" si="0"/>
        <v>13.505</v>
      </c>
      <c r="L19" s="30">
        <f>SKUTable[[#This Row],[毛利(元/份)]]/SKUTable[[#This Row],[总成本(元/份)]]*100</f>
        <v>207.929176289453</v>
      </c>
      <c r="M19" s="30">
        <f t="shared" si="1"/>
        <v>67.525</v>
      </c>
    </row>
    <row r="20" ht="18.75" customHeight="1" spans="1:13">
      <c r="A20" s="16" t="s">
        <v>44</v>
      </c>
      <c r="B20" s="12">
        <v>17</v>
      </c>
      <c r="C20" s="12">
        <v>0.3</v>
      </c>
      <c r="D20" s="13">
        <v>260</v>
      </c>
      <c r="E20" s="20" t="s">
        <v>42</v>
      </c>
      <c r="F20" s="22">
        <f t="shared" si="5"/>
        <v>8.84</v>
      </c>
      <c r="G20" s="22">
        <v>0.82</v>
      </c>
      <c r="H20" s="22">
        <v>0.2</v>
      </c>
      <c r="I20" s="29">
        <f>SUM(SKUTable[[#This Row],[食材成本(元/份)]:[调味成本(元/份)]])</f>
        <v>9.86</v>
      </c>
      <c r="J20" s="22">
        <v>24</v>
      </c>
      <c r="K20" s="30">
        <f t="shared" si="0"/>
        <v>14.14</v>
      </c>
      <c r="L20" s="30">
        <f>SKUTable[[#This Row],[毛利(元/份)]]/SKUTable[[#This Row],[总成本(元/份)]]*100</f>
        <v>143.407707910751</v>
      </c>
      <c r="M20" s="30">
        <f t="shared" si="1"/>
        <v>58.9166666666667</v>
      </c>
    </row>
    <row r="21" ht="18.75" customHeight="1" spans="1:13">
      <c r="A21" s="16" t="s">
        <v>45</v>
      </c>
      <c r="B21" s="12">
        <v>22.5</v>
      </c>
      <c r="C21" s="12">
        <v>0.3</v>
      </c>
      <c r="D21" s="13">
        <v>100</v>
      </c>
      <c r="E21" s="20" t="s">
        <v>46</v>
      </c>
      <c r="F21" s="22">
        <f t="shared" si="5"/>
        <v>4.5</v>
      </c>
      <c r="G21" s="22">
        <v>0.685</v>
      </c>
      <c r="H21" s="22">
        <v>0.2</v>
      </c>
      <c r="I21" s="29">
        <f>SUM(SKUTable[[#This Row],[食材成本(元/份)]:[调味成本(元/份)]])</f>
        <v>5.385</v>
      </c>
      <c r="J21" s="22">
        <v>18</v>
      </c>
      <c r="K21" s="30">
        <f t="shared" si="0"/>
        <v>12.615</v>
      </c>
      <c r="L21" s="30">
        <f>SKUTable[[#This Row],[毛利(元/份)]]/SKUTable[[#This Row],[总成本(元/份)]]*100</f>
        <v>234.261838440111</v>
      </c>
      <c r="M21" s="30">
        <f t="shared" si="1"/>
        <v>70.0833333333333</v>
      </c>
    </row>
    <row r="22" ht="18.75" customHeight="1" spans="1:13">
      <c r="A22" s="14" t="s">
        <v>47</v>
      </c>
      <c r="B22" s="12">
        <v>19</v>
      </c>
      <c r="C22" s="12">
        <v>0.3</v>
      </c>
      <c r="D22" s="13" t="s">
        <v>20</v>
      </c>
      <c r="E22" s="20" t="s">
        <v>47</v>
      </c>
      <c r="F22" s="22"/>
      <c r="G22" s="22"/>
      <c r="H22" s="22"/>
      <c r="I22" s="29"/>
      <c r="J22" s="22"/>
      <c r="K22" s="30"/>
      <c r="L22" s="30"/>
      <c r="M22" s="30"/>
    </row>
    <row r="23" ht="18.75" customHeight="1" spans="1:13">
      <c r="A23" s="14" t="s">
        <v>48</v>
      </c>
      <c r="B23" s="12">
        <v>19</v>
      </c>
      <c r="C23" s="12">
        <v>0.3</v>
      </c>
      <c r="D23" s="13">
        <v>90</v>
      </c>
      <c r="E23" s="20" t="s">
        <v>49</v>
      </c>
      <c r="F23" s="22">
        <f t="shared" si="5"/>
        <v>3.42</v>
      </c>
      <c r="G23" s="22"/>
      <c r="H23" s="22">
        <v>2.5</v>
      </c>
      <c r="I23" s="29">
        <f>SUM(SKUTable[[#This Row],[食材成本(元/份)]:[调味成本(元/份)]])</f>
        <v>5.92</v>
      </c>
      <c r="J23" s="22">
        <v>16</v>
      </c>
      <c r="K23" s="30">
        <f t="shared" si="0"/>
        <v>10.08</v>
      </c>
      <c r="L23" s="30">
        <f>SKUTable[[#This Row],[毛利(元/份)]]/SKUTable[[#This Row],[总成本(元/份)]]*100</f>
        <v>170.27027027027</v>
      </c>
      <c r="M23" s="30">
        <f t="shared" si="1"/>
        <v>63</v>
      </c>
    </row>
    <row r="24" ht="18.75" customHeight="1" spans="1:13">
      <c r="A24" s="14" t="s">
        <v>50</v>
      </c>
      <c r="B24" s="12">
        <v>19</v>
      </c>
      <c r="C24" s="12">
        <v>0.3</v>
      </c>
      <c r="D24" s="13">
        <v>70</v>
      </c>
      <c r="E24" s="20" t="s">
        <v>49</v>
      </c>
      <c r="F24" s="22">
        <f t="shared" si="5"/>
        <v>2.66</v>
      </c>
      <c r="G24" s="22"/>
      <c r="H24" s="22">
        <v>2.5</v>
      </c>
      <c r="I24" s="29">
        <f>SUM(SKUTable[[#This Row],[食材成本(元/份)]:[调味成本(元/份)]])</f>
        <v>5.16</v>
      </c>
      <c r="J24" s="22">
        <v>16</v>
      </c>
      <c r="K24" s="30">
        <f t="shared" si="0"/>
        <v>10.84</v>
      </c>
      <c r="L24" s="30">
        <f>SKUTable[[#This Row],[毛利(元/份)]]/SKUTable[[#This Row],[总成本(元/份)]]*100</f>
        <v>210.077519379845</v>
      </c>
      <c r="M24" s="30">
        <f t="shared" si="1"/>
        <v>67.75</v>
      </c>
    </row>
    <row r="25" ht="18.75" customHeight="1" spans="1:13">
      <c r="A25" s="16" t="s">
        <v>51</v>
      </c>
      <c r="B25" s="12">
        <v>9.09</v>
      </c>
      <c r="C25" s="12">
        <v>0.3</v>
      </c>
      <c r="D25" s="13">
        <v>300</v>
      </c>
      <c r="E25" s="20" t="s">
        <v>33</v>
      </c>
      <c r="F25" s="22">
        <f t="shared" si="5"/>
        <v>5.454</v>
      </c>
      <c r="G25" s="22">
        <v>0.82</v>
      </c>
      <c r="H25" s="23">
        <v>0.5</v>
      </c>
      <c r="I25" s="31">
        <f>SUM(SKUTable[[#This Row],[食材成本(元/份)]:[调味成本(元/份)]])</f>
        <v>6.774</v>
      </c>
      <c r="J25" s="22">
        <v>16</v>
      </c>
      <c r="K25" s="30">
        <f t="shared" si="0"/>
        <v>9.226</v>
      </c>
      <c r="L25" s="30">
        <f>SKUTable[[#This Row],[毛利(元/份)]]/SKUTable[[#This Row],[总成本(元/份)]]*100</f>
        <v>136.19722468261</v>
      </c>
      <c r="M25" s="30">
        <f t="shared" si="1"/>
        <v>57.6625</v>
      </c>
    </row>
    <row r="26" ht="18.75" customHeight="1" spans="1:13">
      <c r="A26" s="15" t="s">
        <v>52</v>
      </c>
      <c r="B26" s="12">
        <v>9.09</v>
      </c>
      <c r="C26" s="12">
        <v>0.3</v>
      </c>
      <c r="D26" s="13">
        <v>165</v>
      </c>
      <c r="E26" s="20" t="s">
        <v>53</v>
      </c>
      <c r="F26" s="22">
        <f t="shared" si="5"/>
        <v>2.9997</v>
      </c>
      <c r="G26" s="22">
        <v>0.685</v>
      </c>
      <c r="H26" s="23">
        <v>1.5</v>
      </c>
      <c r="I26" s="31">
        <f>SUM(SKUTable[[#This Row],[食材成本(元/份)]:[调味成本(元/份)]])</f>
        <v>5.1847</v>
      </c>
      <c r="J26" s="22">
        <v>14</v>
      </c>
      <c r="K26" s="30">
        <f t="shared" si="0"/>
        <v>8.8153</v>
      </c>
      <c r="L26" s="30">
        <f>SKUTable[[#This Row],[毛利(元/份)]]/SKUTable[[#This Row],[总成本(元/份)]]*100</f>
        <v>170.025266649951</v>
      </c>
      <c r="M26" s="30">
        <f t="shared" si="1"/>
        <v>62.9664285714286</v>
      </c>
    </row>
    <row r="27" ht="18.75" customHeight="1" spans="1:13">
      <c r="A27" s="15" t="s">
        <v>54</v>
      </c>
      <c r="B27" s="12">
        <v>9.09</v>
      </c>
      <c r="C27" s="12">
        <v>0.3</v>
      </c>
      <c r="D27" s="13">
        <v>260</v>
      </c>
      <c r="E27" s="20" t="s">
        <v>53</v>
      </c>
      <c r="F27" s="22">
        <f t="shared" si="5"/>
        <v>4.7268</v>
      </c>
      <c r="G27" s="22">
        <v>0.82</v>
      </c>
      <c r="H27" s="23">
        <v>1.5</v>
      </c>
      <c r="I27" s="31">
        <f>SUM(SKUTable[[#This Row],[食材成本(元/份)]:[调味成本(元/份)]])</f>
        <v>7.0468</v>
      </c>
      <c r="J27" s="22">
        <v>18</v>
      </c>
      <c r="K27" s="30">
        <f t="shared" si="0"/>
        <v>10.9532</v>
      </c>
      <c r="L27" s="30">
        <f>SKUTable[[#This Row],[毛利(元/份)]]/SKUTable[[#This Row],[总成本(元/份)]]*100</f>
        <v>155.435091105182</v>
      </c>
      <c r="M27" s="30">
        <f t="shared" si="1"/>
        <v>60.8511111111111</v>
      </c>
    </row>
    <row r="28" ht="18.75" customHeight="1" spans="1:13">
      <c r="A28" s="11" t="s">
        <v>55</v>
      </c>
      <c r="B28" s="12">
        <v>11.75</v>
      </c>
      <c r="C28" s="12" t="s">
        <v>20</v>
      </c>
      <c r="D28" s="13">
        <v>35</v>
      </c>
      <c r="E28" s="13"/>
      <c r="F28" s="22">
        <f t="shared" si="5"/>
        <v>0.8225</v>
      </c>
      <c r="G28" s="22" t="s">
        <v>20</v>
      </c>
      <c r="H28" s="23" t="s">
        <v>20</v>
      </c>
      <c r="I28" s="31">
        <f>SUM(SKUTable[[#This Row],[食材成本(元/份)]:[调味成本(元/份)]])</f>
        <v>0.8225</v>
      </c>
      <c r="J28" s="22" t="s">
        <v>20</v>
      </c>
      <c r="K28" s="30" t="s">
        <v>20</v>
      </c>
      <c r="L28" s="30"/>
      <c r="M28" s="30" t="s">
        <v>20</v>
      </c>
    </row>
    <row r="29" ht="18.75" customHeight="1" spans="1:13">
      <c r="A29" s="15" t="s">
        <v>56</v>
      </c>
      <c r="B29" s="12">
        <v>9.09</v>
      </c>
      <c r="C29" s="12">
        <v>0.3</v>
      </c>
      <c r="D29" s="13">
        <v>165</v>
      </c>
      <c r="E29" s="20" t="s">
        <v>57</v>
      </c>
      <c r="F29" s="22">
        <f t="shared" si="5"/>
        <v>2.9997</v>
      </c>
      <c r="G29" s="22">
        <v>0.685</v>
      </c>
      <c r="H29" s="23">
        <v>1.2</v>
      </c>
      <c r="I29" s="31">
        <f>SUM(SKUTable[[#This Row],[食材成本(元/份)]:[调味成本(元/份)]])</f>
        <v>4.8847</v>
      </c>
      <c r="J29" s="22">
        <v>14</v>
      </c>
      <c r="K29" s="30">
        <f t="shared" si="0"/>
        <v>9.1153</v>
      </c>
      <c r="L29" s="30">
        <f>SKUTable[[#This Row],[毛利(元/份)]]/SKUTable[[#This Row],[总成本(元/份)]]*100</f>
        <v>186.609208344422</v>
      </c>
      <c r="M29" s="30">
        <f t="shared" si="1"/>
        <v>65.1092857142857</v>
      </c>
    </row>
    <row r="30" ht="18.75" customHeight="1" spans="1:13">
      <c r="A30" s="15" t="s">
        <v>58</v>
      </c>
      <c r="B30" s="12">
        <v>9.09</v>
      </c>
      <c r="C30" s="12">
        <v>0.3</v>
      </c>
      <c r="D30" s="13">
        <v>260</v>
      </c>
      <c r="E30" s="20" t="s">
        <v>57</v>
      </c>
      <c r="F30" s="22">
        <f t="shared" si="5"/>
        <v>4.7268</v>
      </c>
      <c r="G30" s="22">
        <v>0.82</v>
      </c>
      <c r="H30" s="23">
        <v>1.2</v>
      </c>
      <c r="I30" s="31">
        <f>SUM(SKUTable[[#This Row],[食材成本(元/份)]:[调味成本(元/份)]])</f>
        <v>6.7468</v>
      </c>
      <c r="J30" s="22">
        <v>18</v>
      </c>
      <c r="K30" s="30">
        <f t="shared" si="0"/>
        <v>11.2532</v>
      </c>
      <c r="L30" s="30">
        <f>SKUTable[[#This Row],[毛利(元/份)]]/SKUTable[[#This Row],[总成本(元/份)]]*100</f>
        <v>166.793146380506</v>
      </c>
      <c r="M30" s="30">
        <f t="shared" si="1"/>
        <v>62.5177777777778</v>
      </c>
    </row>
    <row r="31" ht="18.75" customHeight="1" spans="1:13">
      <c r="A31" s="11" t="s">
        <v>59</v>
      </c>
      <c r="B31" s="12">
        <v>2.875</v>
      </c>
      <c r="C31" s="12" t="s">
        <v>20</v>
      </c>
      <c r="D31" s="17">
        <v>140</v>
      </c>
      <c r="E31" s="20" t="s">
        <v>60</v>
      </c>
      <c r="F31" s="22">
        <f t="shared" si="5"/>
        <v>0.805</v>
      </c>
      <c r="G31" s="22">
        <v>0.82</v>
      </c>
      <c r="H31" s="22">
        <v>4.1</v>
      </c>
      <c r="I31" s="29">
        <f>SUM(SKUTable[[#This Row],[食材成本(元/份)]:[调味成本(元/份)]])</f>
        <v>5.725</v>
      </c>
      <c r="J31" s="22">
        <v>16</v>
      </c>
      <c r="K31" s="30">
        <f t="shared" si="0"/>
        <v>10.275</v>
      </c>
      <c r="L31" s="30">
        <f>SKUTable[[#This Row],[毛利(元/份)]]/SKUTable[[#This Row],[总成本(元/份)]]*100</f>
        <v>179.475982532751</v>
      </c>
      <c r="M31" s="30">
        <f t="shared" si="1"/>
        <v>64.21875</v>
      </c>
    </row>
    <row r="32" ht="18.75" customHeight="1" spans="1:13">
      <c r="A32" s="15" t="s">
        <v>61</v>
      </c>
      <c r="B32" s="12"/>
      <c r="C32" s="12">
        <v>0.3</v>
      </c>
      <c r="D32" s="13"/>
      <c r="E32" s="20" t="s">
        <v>62</v>
      </c>
      <c r="F32" s="22">
        <v>3.88</v>
      </c>
      <c r="G32" s="22">
        <v>0.685</v>
      </c>
      <c r="H32" s="22">
        <v>0.2</v>
      </c>
      <c r="I32" s="29">
        <f>SUM(SKUTable[[#This Row],[食材成本(元/份)]:[调味成本(元/份)]])</f>
        <v>4.765</v>
      </c>
      <c r="J32" s="22">
        <v>14</v>
      </c>
      <c r="K32" s="30">
        <f t="shared" si="0"/>
        <v>9.235</v>
      </c>
      <c r="L32" s="30">
        <f>SKUTable[[#This Row],[毛利(元/份)]]/SKUTable[[#This Row],[总成本(元/份)]]*100</f>
        <v>193.809024134313</v>
      </c>
      <c r="M32" s="30">
        <f t="shared" si="1"/>
        <v>65.9642857142857</v>
      </c>
    </row>
    <row r="33" ht="18.75" customHeight="1" spans="1:13">
      <c r="A33" s="15" t="s">
        <v>63</v>
      </c>
      <c r="B33" s="12"/>
      <c r="C33" s="12">
        <v>0.3</v>
      </c>
      <c r="D33" s="13"/>
      <c r="E33" s="20" t="s">
        <v>64</v>
      </c>
      <c r="F33" s="22">
        <v>5.28</v>
      </c>
      <c r="G33" s="22">
        <v>0.685</v>
      </c>
      <c r="H33" s="22">
        <v>0.2</v>
      </c>
      <c r="I33" s="29">
        <f>SUM(SKUTable[[#This Row],[食材成本(元/份)]:[调味成本(元/份)]])</f>
        <v>6.165</v>
      </c>
      <c r="J33" s="22">
        <v>15</v>
      </c>
      <c r="K33" s="30">
        <f t="shared" si="0"/>
        <v>8.835</v>
      </c>
      <c r="L33" s="30">
        <f>SKUTable[[#This Row],[毛利(元/份)]]/SKUTable[[#This Row],[总成本(元/份)]]*100</f>
        <v>143.30900243309</v>
      </c>
      <c r="M33" s="30">
        <f t="shared" si="1"/>
        <v>58.9</v>
      </c>
    </row>
    <row r="34" ht="18.75" customHeight="1" spans="1:13">
      <c r="A34" s="15" t="s">
        <v>65</v>
      </c>
      <c r="B34" s="12"/>
      <c r="C34" s="12">
        <v>0.3</v>
      </c>
      <c r="D34" s="13">
        <v>370</v>
      </c>
      <c r="E34" s="20" t="s">
        <v>66</v>
      </c>
      <c r="F34" s="22">
        <v>6.94</v>
      </c>
      <c r="G34" s="22">
        <v>0.82</v>
      </c>
      <c r="H34" s="22">
        <v>0.2</v>
      </c>
      <c r="I34" s="29">
        <f>SUM(SKUTable[[#This Row],[食材成本(元/份)]:[调味成本(元/份)]])</f>
        <v>7.96</v>
      </c>
      <c r="J34" s="22">
        <v>24</v>
      </c>
      <c r="K34" s="30">
        <f t="shared" si="0"/>
        <v>16.04</v>
      </c>
      <c r="L34" s="30">
        <f>SKUTable[[#This Row],[毛利(元/份)]]/SKUTable[[#This Row],[总成本(元/份)]]*100</f>
        <v>201.507537688442</v>
      </c>
      <c r="M34" s="30">
        <f t="shared" si="1"/>
        <v>66.8333333333333</v>
      </c>
    </row>
    <row r="35" ht="18.75" customHeight="1" spans="1:13">
      <c r="A35" s="11" t="s">
        <v>67</v>
      </c>
      <c r="B35" s="18">
        <v>4.5</v>
      </c>
      <c r="C35" s="12">
        <v>0.3</v>
      </c>
      <c r="D35" s="13">
        <v>125</v>
      </c>
      <c r="E35" s="20" t="s">
        <v>68</v>
      </c>
      <c r="F35" s="22">
        <f t="shared" si="5"/>
        <v>1.125</v>
      </c>
      <c r="G35" s="22">
        <v>0.82</v>
      </c>
      <c r="H35" s="22">
        <v>4.1</v>
      </c>
      <c r="I35" s="29">
        <f>SUM(SKUTable[[#This Row],[食材成本(元/份)]:[调味成本(元/份)]])</f>
        <v>6.045</v>
      </c>
      <c r="J35" s="22">
        <v>16</v>
      </c>
      <c r="K35" s="30">
        <f t="shared" si="0"/>
        <v>9.955</v>
      </c>
      <c r="L35" s="30">
        <f>SKUTable[[#This Row],[毛利(元/份)]]/SKUTable[[#This Row],[总成本(元/份)]]*100</f>
        <v>164.681555004136</v>
      </c>
      <c r="M35" s="30">
        <f t="shared" si="1"/>
        <v>62.21875</v>
      </c>
    </row>
    <row r="36" ht="18.75" customHeight="1" spans="1:13">
      <c r="A36" s="11" t="s">
        <v>69</v>
      </c>
      <c r="B36" s="12"/>
      <c r="C36" s="12">
        <v>0.3</v>
      </c>
      <c r="D36" s="13"/>
      <c r="E36" s="20" t="s">
        <v>70</v>
      </c>
      <c r="F36" s="22">
        <v>2.84</v>
      </c>
      <c r="G36" s="22">
        <v>0.685</v>
      </c>
      <c r="H36" s="22">
        <v>2.5</v>
      </c>
      <c r="I36" s="29">
        <f>SUM(SKUTable[[#This Row],[食材成本(元/份)]:[调味成本(元/份)]])</f>
        <v>6.025</v>
      </c>
      <c r="J36" s="22">
        <v>15</v>
      </c>
      <c r="K36" s="30">
        <f t="shared" si="0"/>
        <v>8.975</v>
      </c>
      <c r="L36" s="30">
        <f>SKUTable[[#This Row],[毛利(元/份)]]/SKUTable[[#This Row],[总成本(元/份)]]*100</f>
        <v>148.96265560166</v>
      </c>
      <c r="M36" s="30">
        <f t="shared" si="1"/>
        <v>59.8333333333333</v>
      </c>
    </row>
    <row r="40" spans="5:5">
      <c r="E40" s="7"/>
    </row>
  </sheetData>
  <conditionalFormatting sqref="M$1:M$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{9af3d531-55e9-4d94-bb4e-e3da00f601b7}</x14:id>
        </ext>
      </extLst>
    </cfRule>
  </conditionalFormatting>
  <pageMargins left="0.7" right="0.7" top="0.75" bottom="0.75" header="0.3" footer="0.3"/>
  <pageSetup paperSize="9" orientation="portrait"/>
  <headerFooter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af3d531-55e9-4d94-bb4e-e3da00f601b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M$1:M$1048576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成本管理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2026-02-12T12:30:00Z</dcterms:created>
  <dcterms:modified xsi:type="dcterms:W3CDTF">2026-03-06T17:00:54Z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