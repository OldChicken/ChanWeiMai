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activeTab="1"/>
  </bookViews>
  <sheets>
    <sheet name="堂食利润" sheetId="1" r:id="rId1"/>
    <sheet name="堂食菜单" sheetId="2" r:id="rId2"/>
  </sheets>
  <calcPr calcId="144525"/>
</workbook>
</file>

<file path=xl/sharedStrings.xml><?xml version="1.0" encoding="utf-8"?>
<sst xmlns="http://schemas.openxmlformats.org/spreadsheetml/2006/main" count="227" uniqueCount="111">
  <si>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</si>
  <si>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</si>
  <si>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</si>
  <si>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</si>
  <si>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</si>
  <si>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</si>
  <si>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</si>
  <si>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</si>
  <si>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</si>
  <si>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</si>
  <si>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</si>
  <si>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</si>
  <si>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</si>
  <si>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</si>
  <si>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</si>
  <si>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</si>
  <si>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</si>
  <si>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</si>
  <si>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</si>
  <si>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</si>
  <si>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</si>
  <si>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</si>
  <si>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</si>
  <si>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</si>
  <si>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</si>
  <si>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</si>
  <si>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</si>
  <si>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</si>
  <si>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</si>
  <si>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</si>
  <si>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</si>
  <si>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</si>
  <si>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</si>
  <si>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</si>
  <si>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</si>
  <si>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</si>
  <si>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</si>
  <si>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</si>
  <si>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</si>
  <si>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</si>
  <si>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</si>
  <si>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</si>
  <si>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</si>
  <si>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</si>
  <si>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</si>
  <si>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</si>
  <si>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</si>
  <si>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</si>
  <si>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</si>
  <si>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</si>
  <si>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</si>
  <si>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</si>
  <si>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</si>
  <si>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</si>
  <si>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</si>
  <si>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</si>
  <si>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</si>
  <si>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</si>
  <si>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</si>
  <si>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</si>
  <si>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</si>
  <si>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</si>
  <si>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</si>
  <si>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</si>
  <si>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</si>
  <si>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</si>
  <si>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</si>
  <si>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</si>
  <si>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</si>
  <si>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</si>
  <si>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</si>
  <si>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</si>
  <si>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</si>
  <si>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</si>
  <si>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</si>
  <si>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</si>
  <si>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</si>
  <si>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</si>
  <si>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</si>
  <si>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</si>
  <si>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</si>
  <si>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</si>
  <si>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</si>
  <si>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</si>
  <si>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</si>
  <si>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</si>
  <si>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剁椒干拌瘦肉丸</t>
  </si>
  <si>
    <t>金汤酸菜瘦肉丸</t>
  </si>
  <si>
    <t>福鼎肉燕</t>
  </si>
  <si>
    <t>大份(200克)</t>
  </si>
  <si>
    <t>特大份(300克)</t>
  </si>
  <si>
    <t>豪华三拼(经典+牛肉羹+肉燕)</t>
  </si>
  <si>
    <t>豪华多拼</t>
  </si>
  <si>
    <t>自由双拼</t>
  </si>
  <si>
    <t>火鸡面拌瘦肉丸</t>
  </si>
  <si>
    <t>约240克</t>
  </si>
  <si>
    <t>特色口味</t>
  </si>
  <si>
    <t>金汤酸菜泡面+瘦肉丸</t>
  </si>
  <si>
    <t>金汤酸菜弹粉+瘦肉丸</t>
  </si>
  <si>
    <t>特色素面</t>
  </si>
  <si>
    <t>8元</t>
  </si>
  <si>
    <t>10只</t>
  </si>
  <si>
    <t>特色小吃</t>
  </si>
  <si>
    <t>福州鱼丸</t>
  </si>
  <si>
    <t>8个</t>
  </si>
  <si>
    <t>纸皮烧卖</t>
  </si>
  <si>
    <t>3个</t>
  </si>
  <si>
    <t>1个</t>
  </si>
  <si>
    <t>5元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</si>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</sst>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0_);\(0.000\)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3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4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29" fillId="32" borderId="4" applyNumberForma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8" fillId="14" borderId="4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5" fillId="22" borderId="8" applyNumberFormat="0" applyAlignment="0" applyProtection="0">
      <alignment vertical="center"/>
    </xf>
    <xf numFmtId="0" fontId="28" fillId="14" borderId="9" applyNumberFormat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4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5" fillId="3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wrapText="1"/>
    </xf>
    <xf numFmtId="4" fontId="4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5" fillId="4" borderId="1" xfId="0" applyNumberFormat="1" applyFont="1" applyFill="1" applyBorder="1" applyAlignment="1">
      <alignment horizontal="center" vertical="center" wrapText="1"/>
    </xf>
    <xf numFmtId="177" fontId="5" fillId="4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wrapText="1"/>
    </xf>
    <xf numFmtId="4" fontId="10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center" vertical="center" wrapText="1"/>
    </xf>
    <xf numFmtId="177" fontId="10" fillId="4" borderId="1" xfId="0" applyNumberFormat="1" applyFont="1" applyFill="1" applyBorder="1" applyAlignment="1">
      <alignment horizontal="center" vertical="center" wrapText="1"/>
    </xf>
    <xf numFmtId="177" fontId="5" fillId="5" borderId="1" xfId="0" applyNumberFormat="1" applyFont="1" applyFill="1" applyBorder="1" applyAlignment="1">
      <alignment horizontal="center" vertical="center" wrapText="1"/>
    </xf>
    <xf numFmtId="177" fontId="11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3" name="表3" displayName="表3" ref="A1:D44" totalsRowShown="0">
  <autoFilter ref="A1:D44"/>
  <tableColumns count="4">
    <tableColumn id="1" name="菜品名"/>
    <tableColumn id="2" name="规格"/>
    <tableColumn id="3" name="价格"/>
    <tableColumn id="4" name="所属分类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3" customWidth="1"/>
    <col min="2" max="2" width="14" style="4" customWidth="1"/>
    <col min="3" max="3" width="20.25" style="4" customWidth="1"/>
    <col min="4" max="4" width="23.875" style="5" customWidth="1"/>
    <col min="5" max="5" width="33.5" style="5" customWidth="1"/>
    <col min="6" max="6" width="18.625" style="6" customWidth="1"/>
    <col min="7" max="7" width="19.25" style="6" customWidth="1"/>
    <col min="8" max="8" width="18.625" style="6" customWidth="1"/>
    <col min="9" max="9" width="19.125" style="7" customWidth="1"/>
    <col min="10" max="10" width="18" style="8" customWidth="1"/>
    <col min="11" max="11" width="16.75" style="6" customWidth="1"/>
    <col min="12" max="12" width="17.625" style="6" customWidth="1"/>
    <col min="13" max="13" width="14.75" style="6" customWidth="1"/>
  </cols>
  <sheetData>
    <row r="1" s="2" customFormat="1" ht="29.25" customHeight="1" spans="1:13">
      <c r="A1" s="9" t="s">
        <v>0</v>
      </c>
      <c r="B1" s="10" t="s">
        <v>1</v>
      </c>
      <c r="C1" s="10" t="s">
        <v>2</v>
      </c>
      <c r="D1" s="11" t="s">
        <v>3</v>
      </c>
      <c r="E1" s="19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5" t="s">
        <v>9</v>
      </c>
      <c r="K1" s="20" t="s">
        <v>10</v>
      </c>
      <c r="L1" s="20" t="s">
        <v>11</v>
      </c>
      <c r="M1" s="20" t="s">
        <v>12</v>
      </c>
    </row>
    <row r="2" ht="20.25" customHeight="1" spans="1:13">
      <c r="A2" s="12" t="s">
        <v>13</v>
      </c>
      <c r="B2" s="13">
        <v>11</v>
      </c>
      <c r="C2" s="13">
        <v>0.5</v>
      </c>
      <c r="D2" s="14">
        <v>120</v>
      </c>
      <c r="E2" s="21" t="s">
        <v>14</v>
      </c>
      <c r="F2" s="22">
        <f>(B2+SKUTable[[#This Row],[运费(元/500g)]])*D2/500</f>
        <v>2.76</v>
      </c>
      <c r="G2" s="22">
        <v>0.2</v>
      </c>
      <c r="H2" s="22">
        <v>0.15</v>
      </c>
      <c r="I2" s="26">
        <f>SUM(SKUTable[[#This Row],[食材成本(元/份)]:[调味成本(元/份)]])</f>
        <v>3.11</v>
      </c>
      <c r="J2" s="27">
        <v>8</v>
      </c>
      <c r="K2" s="28">
        <f>J2-(F2+G2+H2)</f>
        <v>4.89</v>
      </c>
      <c r="L2" s="28">
        <f>SKUTable[[#This Row],[毛利(元/份)]]/SKUTable[[#This Row],[总成本(元/份)]]*100</f>
        <v>157.234726688103</v>
      </c>
      <c r="M2" s="28">
        <f>(J2-(F2+G2+H2))/J2*100</f>
        <v>61.125</v>
      </c>
    </row>
    <row r="3" ht="20.25" customHeight="1" spans="1:13">
      <c r="A3" s="12" t="s">
        <v>15</v>
      </c>
      <c r="B3" s="13"/>
      <c r="C3" s="13"/>
      <c r="D3" s="14">
        <v>220</v>
      </c>
      <c r="E3" s="21" t="s">
        <v>16</v>
      </c>
      <c r="F3" s="22">
        <v>2.45</v>
      </c>
      <c r="G3" s="22">
        <v>0.2</v>
      </c>
      <c r="H3" s="22">
        <v>0.15</v>
      </c>
      <c r="I3" s="26">
        <f>SUM(SKUTable[[#This Row],[食材成本(元/份)]:[调味成本(元/份)]])</f>
        <v>2.8</v>
      </c>
      <c r="J3" s="27">
        <v>8</v>
      </c>
      <c r="K3" s="28">
        <f>J3-(F3+G3+H3)</f>
        <v>5.2</v>
      </c>
      <c r="L3" s="28">
        <f>SKUTable[[#This Row],[毛利(元/份)]]/SKUTable[[#This Row],[总成本(元/份)]]*100</f>
        <v>185.714285714286</v>
      </c>
      <c r="M3" s="28">
        <f>(J3-(F3+G3+H3))/J3*100</f>
        <v>65</v>
      </c>
    </row>
    <row r="4" ht="20.25" customHeight="1" spans="1:13">
      <c r="A4" s="12" t="s">
        <v>17</v>
      </c>
      <c r="B4" s="13">
        <v>8.8</v>
      </c>
      <c r="C4" s="13">
        <v>0</v>
      </c>
      <c r="D4" s="14">
        <v>70</v>
      </c>
      <c r="E4" s="21" t="s">
        <v>18</v>
      </c>
      <c r="F4" s="22">
        <f>(B4+SKUTable[[#This Row],[运费(元/500g)]])*D4/500</f>
        <v>1.232</v>
      </c>
      <c r="G4" s="22">
        <v>0.05</v>
      </c>
      <c r="H4" s="22">
        <v>0</v>
      </c>
      <c r="I4" s="26">
        <f>SUM(SKUTable[[#This Row],[食材成本(元/份)]:[调味成本(元/份)]])</f>
        <v>1.282</v>
      </c>
      <c r="J4" s="27">
        <v>4</v>
      </c>
      <c r="K4" s="28">
        <f t="shared" ref="K4:K36" si="0">J4-(F4+G4+H4)</f>
        <v>2.718</v>
      </c>
      <c r="L4" s="28">
        <f>SKUTable[[#This Row],[毛利(元/份)]]/SKUTable[[#This Row],[总成本(元/份)]]*100</f>
        <v>212.01248049922</v>
      </c>
      <c r="M4" s="28">
        <f t="shared" ref="M4:M36" si="1">(J4-(F4+G4+H4))/J4*100</f>
        <v>67.95</v>
      </c>
    </row>
    <row r="5" ht="20.25" customHeight="1" spans="1:13">
      <c r="A5" s="12" t="s">
        <v>19</v>
      </c>
      <c r="B5" s="13" t="s">
        <v>20</v>
      </c>
      <c r="C5" s="13" t="s">
        <v>20</v>
      </c>
      <c r="D5" s="13" t="s">
        <v>20</v>
      </c>
      <c r="E5" s="21" t="s">
        <v>21</v>
      </c>
      <c r="F5" s="22">
        <v>2</v>
      </c>
      <c r="G5" s="22">
        <v>0.05</v>
      </c>
      <c r="H5" s="22">
        <v>0</v>
      </c>
      <c r="I5" s="26">
        <f>SUM(SKUTable[[#This Row],[食材成本(元/份)]:[调味成本(元/份)]])</f>
        <v>2.05</v>
      </c>
      <c r="J5" s="27">
        <v>5</v>
      </c>
      <c r="K5" s="28">
        <f t="shared" si="0"/>
        <v>2.95</v>
      </c>
      <c r="L5" s="28">
        <f>SKUTable[[#This Row],[毛利(元/份)]]/SKUTable[[#This Row],[总成本(元/份)]]*100</f>
        <v>143.90243902439</v>
      </c>
      <c r="M5" s="28">
        <f t="shared" si="1"/>
        <v>59</v>
      </c>
    </row>
    <row r="6" ht="20.25" customHeight="1" spans="1:13">
      <c r="A6" s="12" t="s">
        <v>22</v>
      </c>
      <c r="B6" s="13" t="s">
        <v>20</v>
      </c>
      <c r="C6" s="13" t="s">
        <v>20</v>
      </c>
      <c r="D6" s="13" t="s">
        <v>20</v>
      </c>
      <c r="E6" s="21" t="s">
        <v>23</v>
      </c>
      <c r="F6" s="22">
        <v>2.8</v>
      </c>
      <c r="G6" s="22">
        <v>0.05</v>
      </c>
      <c r="H6" s="22">
        <v>0</v>
      </c>
      <c r="I6" s="26">
        <f>SUM(SKUTable[[#This Row],[食材成本(元/份)]:[调味成本(元/份)]])</f>
        <v>2.85</v>
      </c>
      <c r="J6" s="27">
        <v>6</v>
      </c>
      <c r="K6" s="28">
        <f t="shared" si="0"/>
        <v>3.15</v>
      </c>
      <c r="L6" s="28">
        <f>SKUTable[[#This Row],[毛利(元/份)]]/SKUTable[[#This Row],[总成本(元/份)]]*100</f>
        <v>110.526315789474</v>
      </c>
      <c r="M6" s="28">
        <f t="shared" si="1"/>
        <v>52.5</v>
      </c>
    </row>
    <row r="7" ht="20.25" customHeight="1" spans="1:13">
      <c r="A7" s="15" t="s">
        <v>24</v>
      </c>
      <c r="B7" s="13" t="s">
        <v>20</v>
      </c>
      <c r="C7" s="13" t="s">
        <v>20</v>
      </c>
      <c r="D7" s="13" t="s">
        <v>20</v>
      </c>
      <c r="E7" s="21" t="s">
        <v>25</v>
      </c>
      <c r="F7" s="23">
        <v>3.24</v>
      </c>
      <c r="G7" s="23">
        <v>0.2</v>
      </c>
      <c r="H7" s="23">
        <v>0</v>
      </c>
      <c r="I7" s="29">
        <f>SUM(SKUTable[[#This Row],[食材成本(元/份)]:[调味成本(元/份)]])</f>
        <v>3.44</v>
      </c>
      <c r="J7" s="23">
        <v>8</v>
      </c>
      <c r="K7" s="30">
        <f t="shared" si="0"/>
        <v>4.56</v>
      </c>
      <c r="L7" s="30">
        <f>SKUTable[[#This Row],[毛利(元/份)]]/SKUTable[[#This Row],[总成本(元/份)]]*100</f>
        <v>132.558139534884</v>
      </c>
      <c r="M7" s="30">
        <f t="shared" si="1"/>
        <v>57</v>
      </c>
    </row>
    <row r="8" ht="20.25" customHeight="1" spans="1:13">
      <c r="A8" s="15" t="s">
        <v>26</v>
      </c>
      <c r="B8" s="13" t="s">
        <v>20</v>
      </c>
      <c r="C8" s="13" t="s">
        <v>20</v>
      </c>
      <c r="D8" s="13" t="s">
        <v>20</v>
      </c>
      <c r="E8" s="21" t="s">
        <v>27</v>
      </c>
      <c r="F8" s="23">
        <v>0.4</v>
      </c>
      <c r="G8" s="23">
        <v>0</v>
      </c>
      <c r="H8" s="23">
        <v>0</v>
      </c>
      <c r="I8" s="29">
        <f>SUM(SKUTable[[#This Row],[食材成本(元/份)]:[调味成本(元/份)]])</f>
        <v>0.4</v>
      </c>
      <c r="J8" s="23">
        <v>1.25</v>
      </c>
      <c r="K8" s="30">
        <f t="shared" si="0"/>
        <v>0.85</v>
      </c>
      <c r="L8" s="30">
        <f>SKUTable[[#This Row],[毛利(元/份)]]/SKUTable[[#This Row],[总成本(元/份)]]*100</f>
        <v>212.5</v>
      </c>
      <c r="M8" s="30">
        <f t="shared" si="1"/>
        <v>68</v>
      </c>
    </row>
    <row r="9" ht="20.25" customHeight="1" spans="1:13">
      <c r="A9" s="12" t="s">
        <v>28</v>
      </c>
      <c r="B9" s="13" t="s">
        <v>20</v>
      </c>
      <c r="C9" s="13" t="s">
        <v>20</v>
      </c>
      <c r="D9" s="13" t="s">
        <v>20</v>
      </c>
      <c r="E9" s="21" t="s">
        <v>29</v>
      </c>
      <c r="F9" s="23">
        <v>0.45</v>
      </c>
      <c r="G9" s="23">
        <v>0</v>
      </c>
      <c r="H9" s="23">
        <v>0</v>
      </c>
      <c r="I9" s="29">
        <f>SUM(SKUTable[[#This Row],[食材成本(元/份)]:[调味成本(元/份)]])</f>
        <v>0.45</v>
      </c>
      <c r="J9" s="23">
        <v>1.25</v>
      </c>
      <c r="K9" s="30">
        <f t="shared" si="0"/>
        <v>0.8</v>
      </c>
      <c r="L9" s="30">
        <f>SKUTable[[#This Row],[毛利(元/份)]]/SKUTable[[#This Row],[总成本(元/份)]]*100</f>
        <v>177.777777777778</v>
      </c>
      <c r="M9" s="30">
        <f t="shared" si="1"/>
        <v>64</v>
      </c>
    </row>
    <row r="10" ht="20.25" customHeight="1" spans="1:13">
      <c r="A10" s="12" t="s">
        <v>30</v>
      </c>
      <c r="B10" s="13" t="s">
        <v>20</v>
      </c>
      <c r="C10" s="13" t="s">
        <v>20</v>
      </c>
      <c r="D10" s="13" t="s">
        <v>20</v>
      </c>
      <c r="E10" s="21" t="s">
        <v>30</v>
      </c>
      <c r="F10" s="23">
        <v>1.37</v>
      </c>
      <c r="G10" s="23">
        <v>0</v>
      </c>
      <c r="H10" s="23">
        <v>0</v>
      </c>
      <c r="I10" s="29">
        <f>SUM(SKUTable[[#This Row],[食材成本(元/份)]:[调味成本(元/份)]])</f>
        <v>1.37</v>
      </c>
      <c r="J10" s="23">
        <v>2.5</v>
      </c>
      <c r="K10" s="30">
        <f t="shared" si="0"/>
        <v>1.13</v>
      </c>
      <c r="L10" s="30">
        <f>SKUTable[[#This Row],[毛利(元/份)]]/SKUTable[[#This Row],[总成本(元/份)]]*100</f>
        <v>82.4817518248175</v>
      </c>
      <c r="M10" s="30">
        <f t="shared" si="1"/>
        <v>45.2</v>
      </c>
    </row>
    <row r="11" ht="20.25" customHeight="1" spans="1:13">
      <c r="A11" s="12" t="s">
        <v>31</v>
      </c>
      <c r="B11" s="13" t="s">
        <v>20</v>
      </c>
      <c r="C11" s="13" t="s">
        <v>20</v>
      </c>
      <c r="D11" s="13" t="s">
        <v>20</v>
      </c>
      <c r="E11" s="21" t="s">
        <v>31</v>
      </c>
      <c r="F11" s="23">
        <v>1.37</v>
      </c>
      <c r="G11" s="23">
        <v>0</v>
      </c>
      <c r="H11" s="23">
        <v>0</v>
      </c>
      <c r="I11" s="29">
        <f>SUM(SKUTable[[#This Row],[食材成本(元/份)]:[调味成本(元/份)]])</f>
        <v>1.37</v>
      </c>
      <c r="J11" s="23">
        <v>2.5</v>
      </c>
      <c r="K11" s="30">
        <f t="shared" si="0"/>
        <v>1.13</v>
      </c>
      <c r="L11" s="30">
        <f>SKUTable[[#This Row],[毛利(元/份)]]/SKUTable[[#This Row],[总成本(元/份)]]*100</f>
        <v>82.4817518248175</v>
      </c>
      <c r="M11" s="30">
        <f t="shared" si="1"/>
        <v>45.2</v>
      </c>
    </row>
    <row r="12" ht="20.25" customHeight="1" spans="1:13">
      <c r="A12" s="12" t="s">
        <v>32</v>
      </c>
      <c r="B12" s="13">
        <v>8</v>
      </c>
      <c r="C12" s="13">
        <v>0.5</v>
      </c>
      <c r="D12" s="14">
        <v>165</v>
      </c>
      <c r="E12" s="21" t="s">
        <v>33</v>
      </c>
      <c r="F12" s="23">
        <f>(B12+SKUTable[[#This Row],[运费(元/500g)]])*D12/500</f>
        <v>2.805</v>
      </c>
      <c r="G12" s="23">
        <v>0.685</v>
      </c>
      <c r="H12" s="23">
        <v>0.2</v>
      </c>
      <c r="I12" s="29">
        <f>SUM(SKUTable[[#This Row],[食材成本(元/份)]:[调味成本(元/份)]])</f>
        <v>3.69</v>
      </c>
      <c r="J12" s="23">
        <v>12</v>
      </c>
      <c r="K12" s="30">
        <f t="shared" si="0"/>
        <v>8.31</v>
      </c>
      <c r="L12" s="30">
        <f>SKUTable[[#This Row],[毛利(元/份)]]/SKUTable[[#This Row],[总成本(元/份)]]*100</f>
        <v>225.20325203252</v>
      </c>
      <c r="M12" s="30">
        <f t="shared" si="1"/>
        <v>69.25</v>
      </c>
    </row>
    <row r="13" ht="20.25" customHeight="1" spans="1:13">
      <c r="A13" s="12" t="s">
        <v>34</v>
      </c>
      <c r="B13" s="13">
        <v>8</v>
      </c>
      <c r="C13" s="13">
        <v>0.5</v>
      </c>
      <c r="D13" s="14">
        <v>260</v>
      </c>
      <c r="E13" s="21" t="s">
        <v>33</v>
      </c>
      <c r="F13" s="23">
        <f>(B13+SKUTable[[#This Row],[运费(元/500g)]])*D13/500</f>
        <v>4.42</v>
      </c>
      <c r="G13" s="23">
        <v>0.82</v>
      </c>
      <c r="H13" s="23">
        <v>0.2</v>
      </c>
      <c r="I13" s="29">
        <f>SUM(SKUTable[[#This Row],[食材成本(元/份)]:[调味成本(元/份)]])</f>
        <v>5.44</v>
      </c>
      <c r="J13" s="23">
        <v>16</v>
      </c>
      <c r="K13" s="30">
        <f t="shared" si="0"/>
        <v>10.56</v>
      </c>
      <c r="L13" s="30">
        <f>SKUTable[[#This Row],[毛利(元/份)]]/SKUTable[[#This Row],[总成本(元/份)]]*100</f>
        <v>194.117647058823</v>
      </c>
      <c r="M13" s="30">
        <f t="shared" si="1"/>
        <v>66</v>
      </c>
    </row>
    <row r="14" ht="18.75" customHeight="1" spans="1:13">
      <c r="A14" s="12" t="s">
        <v>35</v>
      </c>
      <c r="B14" s="13">
        <v>10</v>
      </c>
      <c r="C14" s="13">
        <v>0.5</v>
      </c>
      <c r="D14" s="14">
        <v>165</v>
      </c>
      <c r="E14" s="21" t="s">
        <v>36</v>
      </c>
      <c r="F14" s="23">
        <f>IF(B14&lt;&gt;"",B14*D14/500,"")</f>
        <v>3.3</v>
      </c>
      <c r="G14" s="23">
        <v>0.685</v>
      </c>
      <c r="H14" s="23">
        <v>0.2</v>
      </c>
      <c r="I14" s="29">
        <f>SUM(SKUTable[[#This Row],[食材成本(元/份)]:[调味成本(元/份)]])</f>
        <v>4.185</v>
      </c>
      <c r="J14" s="23">
        <v>14</v>
      </c>
      <c r="K14" s="30">
        <f t="shared" si="0"/>
        <v>9.815</v>
      </c>
      <c r="L14" s="30">
        <f>SKUTable[[#This Row],[毛利(元/份)]]/SKUTable[[#This Row],[总成本(元/份)]]*100</f>
        <v>234.52807646356</v>
      </c>
      <c r="M14" s="30">
        <f t="shared" si="1"/>
        <v>70.1071428571429</v>
      </c>
    </row>
    <row r="15" ht="18.75" customHeight="1" spans="1:13">
      <c r="A15" s="12" t="s">
        <v>37</v>
      </c>
      <c r="B15" s="13">
        <v>10</v>
      </c>
      <c r="C15" s="13">
        <v>0.5</v>
      </c>
      <c r="D15" s="14">
        <v>260</v>
      </c>
      <c r="E15" s="21" t="s">
        <v>36</v>
      </c>
      <c r="F15" s="23">
        <f>IF(B15&lt;&gt;"",B15*D15/500,"")</f>
        <v>5.2</v>
      </c>
      <c r="G15" s="23">
        <v>0.82</v>
      </c>
      <c r="H15" s="23">
        <v>0.2</v>
      </c>
      <c r="I15" s="29">
        <f>SUM(SKUTable[[#This Row],[食材成本(元/份)]:[调味成本(元/份)]])</f>
        <v>6.22</v>
      </c>
      <c r="J15" s="23">
        <v>18</v>
      </c>
      <c r="K15" s="30">
        <f t="shared" si="0"/>
        <v>11.78</v>
      </c>
      <c r="L15" s="30">
        <f>SKUTable[[#This Row],[毛利(元/份)]]/SKUTable[[#This Row],[总成本(元/份)]]*100</f>
        <v>189.389067524116</v>
      </c>
      <c r="M15" s="30">
        <f t="shared" si="1"/>
        <v>65.4444444444444</v>
      </c>
    </row>
    <row r="16" ht="18.75" customHeight="1" spans="1:13">
      <c r="A16" s="12" t="s">
        <v>38</v>
      </c>
      <c r="B16" s="13">
        <v>12.5</v>
      </c>
      <c r="C16" s="13">
        <v>0.5</v>
      </c>
      <c r="D16" s="14">
        <v>165</v>
      </c>
      <c r="E16" s="21" t="s">
        <v>39</v>
      </c>
      <c r="F16" s="23">
        <f>IF(B16&lt;&gt;"",B16*D16/500,"")</f>
        <v>4.125</v>
      </c>
      <c r="G16" s="23">
        <v>0.685</v>
      </c>
      <c r="H16" s="23">
        <v>0.2</v>
      </c>
      <c r="I16" s="29">
        <f>SUM(SKUTable[[#This Row],[食材成本(元/份)]:[调味成本(元/份)]])</f>
        <v>5.01</v>
      </c>
      <c r="J16" s="23">
        <v>15</v>
      </c>
      <c r="K16" s="30">
        <f t="shared" si="0"/>
        <v>9.99</v>
      </c>
      <c r="L16" s="30">
        <f>SKUTable[[#This Row],[毛利(元/份)]]/SKUTable[[#This Row],[总成本(元/份)]]*100</f>
        <v>199.40119760479</v>
      </c>
      <c r="M16" s="30">
        <f t="shared" si="1"/>
        <v>66.6</v>
      </c>
    </row>
    <row r="17" ht="18.75" customHeight="1" spans="1:13">
      <c r="A17" s="12" t="s">
        <v>40</v>
      </c>
      <c r="B17" s="13">
        <v>12.5</v>
      </c>
      <c r="C17" s="13">
        <v>0.5</v>
      </c>
      <c r="D17" s="14">
        <v>260</v>
      </c>
      <c r="E17" s="21" t="s">
        <v>39</v>
      </c>
      <c r="F17" s="23">
        <f>IF(B17&lt;&gt;"",B17*D17/500,"")</f>
        <v>6.5</v>
      </c>
      <c r="G17" s="23">
        <v>0.82</v>
      </c>
      <c r="H17" s="23">
        <v>0.2</v>
      </c>
      <c r="I17" s="29">
        <f>SUM(SKUTable[[#This Row],[食材成本(元/份)]:[调味成本(元/份)]])</f>
        <v>7.52</v>
      </c>
      <c r="J17" s="23">
        <v>20</v>
      </c>
      <c r="K17" s="30">
        <f t="shared" si="0"/>
        <v>12.48</v>
      </c>
      <c r="L17" s="30">
        <f>SKUTable[[#This Row],[毛利(元/份)]]/SKUTable[[#This Row],[总成本(元/份)]]*100</f>
        <v>165.957446808511</v>
      </c>
      <c r="M17" s="30">
        <f t="shared" si="1"/>
        <v>62.4</v>
      </c>
    </row>
    <row r="18" ht="18.75" customHeight="1" spans="1:13">
      <c r="A18" s="15" t="s">
        <v>41</v>
      </c>
      <c r="B18" s="13">
        <v>17</v>
      </c>
      <c r="C18" s="13">
        <v>0.5</v>
      </c>
      <c r="D18" s="14">
        <v>135</v>
      </c>
      <c r="E18" s="21" t="s">
        <v>42</v>
      </c>
      <c r="F18" s="23">
        <f t="shared" ref="F18" si="2">IF(B18&lt;&gt;"",B18*D18/500,"")</f>
        <v>4.59</v>
      </c>
      <c r="G18" s="23">
        <v>0.685</v>
      </c>
      <c r="H18" s="23">
        <v>0.2</v>
      </c>
      <c r="I18" s="29">
        <f>SUM(SKUTable[[#This Row],[食材成本(元/份)]:[调味成本(元/份)]])</f>
        <v>5.475</v>
      </c>
      <c r="J18" s="23">
        <v>15</v>
      </c>
      <c r="K18" s="30">
        <f t="shared" ref="K18" si="3">J18-(F18+G18+H18)</f>
        <v>9.525</v>
      </c>
      <c r="L18" s="30">
        <f>SKUTable[[#This Row],[毛利(元/份)]]/SKUTable[[#This Row],[总成本(元/份)]]*100</f>
        <v>173.972602739726</v>
      </c>
      <c r="M18" s="30">
        <f t="shared" ref="M18" si="4">(J18-(F18+G18+H18))/J18*100</f>
        <v>63.5</v>
      </c>
    </row>
    <row r="19" ht="18.75" customHeight="1" spans="1:13">
      <c r="A19" s="15" t="s">
        <v>43</v>
      </c>
      <c r="B19" s="13">
        <v>17</v>
      </c>
      <c r="C19" s="13">
        <v>0.5</v>
      </c>
      <c r="D19" s="14">
        <v>165</v>
      </c>
      <c r="E19" s="21" t="s">
        <v>42</v>
      </c>
      <c r="F19" s="23">
        <f t="shared" ref="F19:F35" si="5">IF(B19&lt;&gt;"",B19*D19/500,"")</f>
        <v>5.61</v>
      </c>
      <c r="G19" s="23">
        <v>0.685</v>
      </c>
      <c r="H19" s="23">
        <v>0.2</v>
      </c>
      <c r="I19" s="29">
        <f>SUM(SKUTable[[#This Row],[食材成本(元/份)]:[调味成本(元/份)]])</f>
        <v>6.495</v>
      </c>
      <c r="J19" s="23">
        <v>20</v>
      </c>
      <c r="K19" s="30">
        <f t="shared" si="0"/>
        <v>13.505</v>
      </c>
      <c r="L19" s="30">
        <f>SKUTable[[#This Row],[毛利(元/份)]]/SKUTable[[#This Row],[总成本(元/份)]]*100</f>
        <v>207.929176289453</v>
      </c>
      <c r="M19" s="30">
        <f t="shared" si="1"/>
        <v>67.525</v>
      </c>
    </row>
    <row r="20" ht="18.75" customHeight="1" spans="1:13">
      <c r="A20" s="15" t="s">
        <v>44</v>
      </c>
      <c r="B20" s="13">
        <v>17</v>
      </c>
      <c r="C20" s="13">
        <v>0.5</v>
      </c>
      <c r="D20" s="14">
        <v>260</v>
      </c>
      <c r="E20" s="21" t="s">
        <v>42</v>
      </c>
      <c r="F20" s="23">
        <f t="shared" si="5"/>
        <v>8.84</v>
      </c>
      <c r="G20" s="23">
        <v>0.82</v>
      </c>
      <c r="H20" s="23">
        <v>0.2</v>
      </c>
      <c r="I20" s="29">
        <f>SUM(SKUTable[[#This Row],[食材成本(元/份)]:[调味成本(元/份)]])</f>
        <v>9.86</v>
      </c>
      <c r="J20" s="23">
        <v>24</v>
      </c>
      <c r="K20" s="30">
        <f t="shared" si="0"/>
        <v>14.14</v>
      </c>
      <c r="L20" s="30">
        <f>SKUTable[[#This Row],[毛利(元/份)]]/SKUTable[[#This Row],[总成本(元/份)]]*100</f>
        <v>143.407707910751</v>
      </c>
      <c r="M20" s="30">
        <f t="shared" si="1"/>
        <v>58.9166666666667</v>
      </c>
    </row>
    <row r="21" ht="18.75" customHeight="1" spans="1:13">
      <c r="A21" s="15" t="s">
        <v>45</v>
      </c>
      <c r="B21" s="13">
        <v>22.5</v>
      </c>
      <c r="C21" s="13">
        <v>0.5</v>
      </c>
      <c r="D21" s="14">
        <v>100</v>
      </c>
      <c r="E21" s="21" t="s">
        <v>46</v>
      </c>
      <c r="F21" s="23">
        <f t="shared" si="5"/>
        <v>4.5</v>
      </c>
      <c r="G21" s="23">
        <v>0.685</v>
      </c>
      <c r="H21" s="23">
        <v>0.2</v>
      </c>
      <c r="I21" s="29">
        <f>SUM(SKUTable[[#This Row],[食材成本(元/份)]:[调味成本(元/份)]])</f>
        <v>5.385</v>
      </c>
      <c r="J21" s="23">
        <v>18</v>
      </c>
      <c r="K21" s="30">
        <f t="shared" si="0"/>
        <v>12.615</v>
      </c>
      <c r="L21" s="30">
        <f>SKUTable[[#This Row],[毛利(元/份)]]/SKUTable[[#This Row],[总成本(元/份)]]*100</f>
        <v>234.261838440111</v>
      </c>
      <c r="M21" s="30">
        <f t="shared" si="1"/>
        <v>70.0833333333333</v>
      </c>
    </row>
    <row r="22" ht="18.75" customHeight="1" spans="1:13">
      <c r="A22" s="15" t="s">
        <v>47</v>
      </c>
      <c r="B22" s="13">
        <v>19</v>
      </c>
      <c r="C22" s="13">
        <v>0.5</v>
      </c>
      <c r="D22" s="14" t="s">
        <v>20</v>
      </c>
      <c r="E22" s="21" t="s">
        <v>47</v>
      </c>
      <c r="F22" s="23"/>
      <c r="G22" s="23"/>
      <c r="H22" s="23"/>
      <c r="I22" s="29"/>
      <c r="J22" s="23"/>
      <c r="K22" s="30"/>
      <c r="L22" s="30"/>
      <c r="M22" s="30"/>
    </row>
    <row r="23" ht="18.75" customHeight="1" spans="1:13">
      <c r="A23" s="15" t="s">
        <v>48</v>
      </c>
      <c r="B23" s="13">
        <v>19</v>
      </c>
      <c r="C23" s="13">
        <v>0.5</v>
      </c>
      <c r="D23" s="14">
        <v>90</v>
      </c>
      <c r="E23" s="21" t="s">
        <v>49</v>
      </c>
      <c r="F23" s="23">
        <f t="shared" si="5"/>
        <v>3.42</v>
      </c>
      <c r="G23" s="23"/>
      <c r="H23" s="23">
        <v>2.5</v>
      </c>
      <c r="I23" s="29">
        <f>SUM(SKUTable[[#This Row],[食材成本(元/份)]:[调味成本(元/份)]])</f>
        <v>5.92</v>
      </c>
      <c r="J23" s="23">
        <v>16</v>
      </c>
      <c r="K23" s="30">
        <f t="shared" si="0"/>
        <v>10.08</v>
      </c>
      <c r="L23" s="30">
        <f>SKUTable[[#This Row],[毛利(元/份)]]/SKUTable[[#This Row],[总成本(元/份)]]*100</f>
        <v>170.27027027027</v>
      </c>
      <c r="M23" s="30">
        <f t="shared" si="1"/>
        <v>63</v>
      </c>
    </row>
    <row r="24" ht="18.75" customHeight="1" spans="1:13">
      <c r="A24" s="15" t="s">
        <v>50</v>
      </c>
      <c r="B24" s="13">
        <v>19</v>
      </c>
      <c r="C24" s="13">
        <v>0.5</v>
      </c>
      <c r="D24" s="14">
        <v>70</v>
      </c>
      <c r="E24" s="21" t="s">
        <v>49</v>
      </c>
      <c r="F24" s="23">
        <f t="shared" si="5"/>
        <v>2.66</v>
      </c>
      <c r="G24" s="23"/>
      <c r="H24" s="23">
        <v>2.5</v>
      </c>
      <c r="I24" s="29">
        <f>SUM(SKUTable[[#This Row],[食材成本(元/份)]:[调味成本(元/份)]])</f>
        <v>5.16</v>
      </c>
      <c r="J24" s="23">
        <v>16</v>
      </c>
      <c r="K24" s="30">
        <f t="shared" si="0"/>
        <v>10.84</v>
      </c>
      <c r="L24" s="30">
        <f>SKUTable[[#This Row],[毛利(元/份)]]/SKUTable[[#This Row],[总成本(元/份)]]*100</f>
        <v>210.077519379845</v>
      </c>
      <c r="M24" s="30">
        <f t="shared" si="1"/>
        <v>67.75</v>
      </c>
    </row>
    <row r="25" ht="18.75" customHeight="1" spans="1:13">
      <c r="A25" s="15" t="s">
        <v>51</v>
      </c>
      <c r="B25" s="13">
        <v>9.09</v>
      </c>
      <c r="C25" s="13">
        <v>0.5</v>
      </c>
      <c r="D25" s="14">
        <v>300</v>
      </c>
      <c r="E25" s="21" t="s">
        <v>33</v>
      </c>
      <c r="F25" s="23">
        <f t="shared" si="5"/>
        <v>5.454</v>
      </c>
      <c r="G25" s="23">
        <v>0.82</v>
      </c>
      <c r="H25" s="24">
        <v>0.5</v>
      </c>
      <c r="I25" s="31">
        <f>SUM(SKUTable[[#This Row],[食材成本(元/份)]:[调味成本(元/份)]])</f>
        <v>6.774</v>
      </c>
      <c r="J25" s="23">
        <v>16</v>
      </c>
      <c r="K25" s="30">
        <f t="shared" si="0"/>
        <v>9.226</v>
      </c>
      <c r="L25" s="30">
        <f>SKUTable[[#This Row],[毛利(元/份)]]/SKUTable[[#This Row],[总成本(元/份)]]*100</f>
        <v>136.19722468261</v>
      </c>
      <c r="M25" s="30">
        <f t="shared" si="1"/>
        <v>57.6625</v>
      </c>
    </row>
    <row r="26" ht="18.75" customHeight="1" spans="1:13">
      <c r="A26" s="12" t="s">
        <v>52</v>
      </c>
      <c r="B26" s="13">
        <v>9.09</v>
      </c>
      <c r="C26" s="13">
        <v>0.5</v>
      </c>
      <c r="D26" s="14">
        <v>165</v>
      </c>
      <c r="E26" s="21" t="s">
        <v>53</v>
      </c>
      <c r="F26" s="23">
        <f t="shared" si="5"/>
        <v>2.9997</v>
      </c>
      <c r="G26" s="23">
        <v>0.685</v>
      </c>
      <c r="H26" s="24">
        <v>1.5</v>
      </c>
      <c r="I26" s="31">
        <f>SUM(SKUTable[[#This Row],[食材成本(元/份)]:[调味成本(元/份)]])</f>
        <v>5.1847</v>
      </c>
      <c r="J26" s="23">
        <v>14</v>
      </c>
      <c r="K26" s="30">
        <f t="shared" si="0"/>
        <v>8.8153</v>
      </c>
      <c r="L26" s="30">
        <f>SKUTable[[#This Row],[毛利(元/份)]]/SKUTable[[#This Row],[总成本(元/份)]]*100</f>
        <v>170.025266649951</v>
      </c>
      <c r="M26" s="30">
        <f t="shared" si="1"/>
        <v>62.9664285714286</v>
      </c>
    </row>
    <row r="27" ht="18.75" customHeight="1" spans="1:13">
      <c r="A27" s="12" t="s">
        <v>54</v>
      </c>
      <c r="B27" s="13">
        <v>9.09</v>
      </c>
      <c r="C27" s="13">
        <v>0.5</v>
      </c>
      <c r="D27" s="14">
        <v>260</v>
      </c>
      <c r="E27" s="21" t="s">
        <v>53</v>
      </c>
      <c r="F27" s="23">
        <f t="shared" si="5"/>
        <v>4.7268</v>
      </c>
      <c r="G27" s="23">
        <v>0.82</v>
      </c>
      <c r="H27" s="24">
        <v>1.5</v>
      </c>
      <c r="I27" s="31">
        <f>SUM(SKUTable[[#This Row],[食材成本(元/份)]:[调味成本(元/份)]])</f>
        <v>7.0468</v>
      </c>
      <c r="J27" s="23">
        <v>18</v>
      </c>
      <c r="K27" s="30">
        <f t="shared" si="0"/>
        <v>10.9532</v>
      </c>
      <c r="L27" s="30">
        <f>SKUTable[[#This Row],[毛利(元/份)]]/SKUTable[[#This Row],[总成本(元/份)]]*100</f>
        <v>155.435091105182</v>
      </c>
      <c r="M27" s="30">
        <f t="shared" si="1"/>
        <v>60.8511111111111</v>
      </c>
    </row>
    <row r="28" ht="18.75" customHeight="1" spans="1:13">
      <c r="A28" s="12" t="s">
        <v>55</v>
      </c>
      <c r="B28" s="13">
        <v>11.75</v>
      </c>
      <c r="C28" s="13" t="s">
        <v>20</v>
      </c>
      <c r="D28" s="14">
        <v>35</v>
      </c>
      <c r="E28" s="14"/>
      <c r="F28" s="23">
        <f t="shared" si="5"/>
        <v>0.8225</v>
      </c>
      <c r="G28" s="23" t="s">
        <v>20</v>
      </c>
      <c r="H28" s="24" t="s">
        <v>20</v>
      </c>
      <c r="I28" s="31">
        <f>SUM(SKUTable[[#This Row],[食材成本(元/份)]:[调味成本(元/份)]])</f>
        <v>0.8225</v>
      </c>
      <c r="J28" s="23" t="s">
        <v>20</v>
      </c>
      <c r="K28" s="30" t="s">
        <v>20</v>
      </c>
      <c r="L28" s="30"/>
      <c r="M28" s="30" t="s">
        <v>20</v>
      </c>
    </row>
    <row r="29" ht="18.75" customHeight="1" spans="1:13">
      <c r="A29" s="12" t="s">
        <v>56</v>
      </c>
      <c r="B29" s="13">
        <v>8</v>
      </c>
      <c r="C29" s="13">
        <v>0.5</v>
      </c>
      <c r="D29" s="14">
        <v>165</v>
      </c>
      <c r="E29" s="21" t="s">
        <v>57</v>
      </c>
      <c r="F29" s="23">
        <f t="shared" si="5"/>
        <v>2.64</v>
      </c>
      <c r="G29" s="23">
        <v>0.685</v>
      </c>
      <c r="H29" s="24">
        <v>1.2</v>
      </c>
      <c r="I29" s="31">
        <f>SUM(SKUTable[[#This Row],[食材成本(元/份)]:[调味成本(元/份)]])</f>
        <v>4.525</v>
      </c>
      <c r="J29" s="23">
        <v>14</v>
      </c>
      <c r="K29" s="30">
        <f t="shared" si="0"/>
        <v>9.475</v>
      </c>
      <c r="L29" s="30">
        <f>SKUTable[[#This Row],[毛利(元/份)]]/SKUTable[[#This Row],[总成本(元/份)]]*100</f>
        <v>209.39226519337</v>
      </c>
      <c r="M29" s="30">
        <f t="shared" si="1"/>
        <v>67.6785714285714</v>
      </c>
    </row>
    <row r="30" ht="18.75" customHeight="1" spans="1:13">
      <c r="A30" s="12" t="s">
        <v>58</v>
      </c>
      <c r="B30" s="13">
        <v>8</v>
      </c>
      <c r="C30" s="13">
        <v>0.5</v>
      </c>
      <c r="D30" s="14">
        <v>260</v>
      </c>
      <c r="E30" s="21" t="s">
        <v>57</v>
      </c>
      <c r="F30" s="23">
        <f t="shared" si="5"/>
        <v>4.16</v>
      </c>
      <c r="G30" s="23">
        <v>0.82</v>
      </c>
      <c r="H30" s="24">
        <v>1.2</v>
      </c>
      <c r="I30" s="31">
        <f>SUM(SKUTable[[#This Row],[食材成本(元/份)]:[调味成本(元/份)]])</f>
        <v>6.18</v>
      </c>
      <c r="J30" s="23">
        <v>18</v>
      </c>
      <c r="K30" s="30">
        <f t="shared" si="0"/>
        <v>11.82</v>
      </c>
      <c r="L30" s="30">
        <f>SKUTable[[#This Row],[毛利(元/份)]]/SKUTable[[#This Row],[总成本(元/份)]]*100</f>
        <v>191.26213592233</v>
      </c>
      <c r="M30" s="30">
        <f t="shared" si="1"/>
        <v>65.6666666666667</v>
      </c>
    </row>
    <row r="31" ht="18.75" customHeight="1" spans="1:13">
      <c r="A31" s="16" t="s">
        <v>59</v>
      </c>
      <c r="B31" s="13">
        <v>2.875</v>
      </c>
      <c r="C31" s="13" t="s">
        <v>20</v>
      </c>
      <c r="D31" s="17">
        <v>140</v>
      </c>
      <c r="E31" s="21" t="s">
        <v>60</v>
      </c>
      <c r="F31" s="23">
        <f t="shared" si="5"/>
        <v>0.805</v>
      </c>
      <c r="G31" s="23">
        <v>0.82</v>
      </c>
      <c r="H31" s="23">
        <v>4.1</v>
      </c>
      <c r="I31" s="29">
        <f>SUM(SKUTable[[#This Row],[食材成本(元/份)]:[调味成本(元/份)]])</f>
        <v>5.725</v>
      </c>
      <c r="J31" s="23">
        <v>16</v>
      </c>
      <c r="K31" s="30">
        <f t="shared" si="0"/>
        <v>10.275</v>
      </c>
      <c r="L31" s="30">
        <f>SKUTable[[#This Row],[毛利(元/份)]]/SKUTable[[#This Row],[总成本(元/份)]]*100</f>
        <v>179.475982532751</v>
      </c>
      <c r="M31" s="30">
        <f t="shared" si="1"/>
        <v>64.21875</v>
      </c>
    </row>
    <row r="32" ht="18.75" customHeight="1" spans="1:13">
      <c r="A32" s="12" t="s">
        <v>61</v>
      </c>
      <c r="B32" s="13"/>
      <c r="C32" s="13">
        <v>0.5</v>
      </c>
      <c r="D32" s="14"/>
      <c r="E32" s="21" t="s">
        <v>62</v>
      </c>
      <c r="F32" s="23">
        <v>3.88</v>
      </c>
      <c r="G32" s="23">
        <v>0.685</v>
      </c>
      <c r="H32" s="23">
        <v>0.2</v>
      </c>
      <c r="I32" s="29">
        <f>SUM(SKUTable[[#This Row],[食材成本(元/份)]:[调味成本(元/份)]])</f>
        <v>4.765</v>
      </c>
      <c r="J32" s="23">
        <v>14</v>
      </c>
      <c r="K32" s="30">
        <f t="shared" si="0"/>
        <v>9.235</v>
      </c>
      <c r="L32" s="30">
        <f>SKUTable[[#This Row],[毛利(元/份)]]/SKUTable[[#This Row],[总成本(元/份)]]*100</f>
        <v>193.809024134313</v>
      </c>
      <c r="M32" s="30">
        <f t="shared" si="1"/>
        <v>65.9642857142857</v>
      </c>
    </row>
    <row r="33" ht="18.75" customHeight="1" spans="1:13">
      <c r="A33" s="12" t="s">
        <v>63</v>
      </c>
      <c r="B33" s="13"/>
      <c r="C33" s="13">
        <v>0.5</v>
      </c>
      <c r="D33" s="14"/>
      <c r="E33" s="21" t="s">
        <v>64</v>
      </c>
      <c r="F33" s="23">
        <v>5.28</v>
      </c>
      <c r="G33" s="23">
        <v>0.685</v>
      </c>
      <c r="H33" s="23">
        <v>0.2</v>
      </c>
      <c r="I33" s="29">
        <f>SUM(SKUTable[[#This Row],[食材成本(元/份)]:[调味成本(元/份)]])</f>
        <v>6.165</v>
      </c>
      <c r="J33" s="23">
        <v>15</v>
      </c>
      <c r="K33" s="30">
        <f t="shared" si="0"/>
        <v>8.835</v>
      </c>
      <c r="L33" s="30">
        <f>SKUTable[[#This Row],[毛利(元/份)]]/SKUTable[[#This Row],[总成本(元/份)]]*100</f>
        <v>143.30900243309</v>
      </c>
      <c r="M33" s="30">
        <f t="shared" si="1"/>
        <v>58.9</v>
      </c>
    </row>
    <row r="34" ht="18.75" customHeight="1" spans="1:13">
      <c r="A34" s="12" t="s">
        <v>65</v>
      </c>
      <c r="B34" s="13"/>
      <c r="C34" s="13">
        <v>0.5</v>
      </c>
      <c r="D34" s="14">
        <v>370</v>
      </c>
      <c r="E34" s="21" t="s">
        <v>66</v>
      </c>
      <c r="F34" s="23">
        <v>6.64</v>
      </c>
      <c r="G34" s="23">
        <v>0.82</v>
      </c>
      <c r="H34" s="23">
        <v>0.2</v>
      </c>
      <c r="I34" s="29">
        <f>SUM(SKUTable[[#This Row],[食材成本(元/份)]:[调味成本(元/份)]])</f>
        <v>7.66</v>
      </c>
      <c r="J34" s="23">
        <v>24</v>
      </c>
      <c r="K34" s="30">
        <f t="shared" si="0"/>
        <v>16.34</v>
      </c>
      <c r="L34" s="30">
        <f>SKUTable[[#This Row],[毛利(元/份)]]/SKUTable[[#This Row],[总成本(元/份)]]*100</f>
        <v>213.31592689295</v>
      </c>
      <c r="M34" s="30">
        <f t="shared" si="1"/>
        <v>68.0833333333333</v>
      </c>
    </row>
    <row r="35" ht="18.75" customHeight="1" spans="1:13">
      <c r="A35" s="16" t="s">
        <v>67</v>
      </c>
      <c r="B35" s="18">
        <v>4.5</v>
      </c>
      <c r="C35" s="13">
        <v>0.5</v>
      </c>
      <c r="D35" s="14">
        <v>200</v>
      </c>
      <c r="E35" s="21" t="s">
        <v>68</v>
      </c>
      <c r="F35" s="23">
        <f t="shared" si="5"/>
        <v>1.8</v>
      </c>
      <c r="G35" s="23">
        <v>0.82</v>
      </c>
      <c r="H35" s="23">
        <v>4</v>
      </c>
      <c r="I35" s="29">
        <f>SUM(SKUTable[[#This Row],[食材成本(元/份)]:[调味成本(元/份)]])</f>
        <v>6.62</v>
      </c>
      <c r="J35" s="23">
        <v>16</v>
      </c>
      <c r="K35" s="30">
        <f t="shared" si="0"/>
        <v>9.38</v>
      </c>
      <c r="L35" s="30">
        <f>SKUTable[[#This Row],[毛利(元/份)]]/SKUTable[[#This Row],[总成本(元/份)]]*100</f>
        <v>141.691842900302</v>
      </c>
      <c r="M35" s="30">
        <f t="shared" si="1"/>
        <v>58.625</v>
      </c>
    </row>
    <row r="36" ht="18.75" customHeight="1" spans="1:13">
      <c r="A36" s="16" t="s">
        <v>69</v>
      </c>
      <c r="B36" s="13"/>
      <c r="C36" s="13">
        <v>0.5</v>
      </c>
      <c r="D36" s="14">
        <v>185</v>
      </c>
      <c r="E36" s="21" t="s">
        <v>70</v>
      </c>
      <c r="F36" s="23">
        <v>2.5</v>
      </c>
      <c r="G36" s="23">
        <v>0.685</v>
      </c>
      <c r="H36" s="23">
        <v>1.4</v>
      </c>
      <c r="I36" s="29">
        <f>SUM(SKUTable[[#This Row],[食材成本(元/份)]:[调味成本(元/份)]])</f>
        <v>4.585</v>
      </c>
      <c r="J36" s="23">
        <v>15</v>
      </c>
      <c r="K36" s="30">
        <f t="shared" si="0"/>
        <v>10.415</v>
      </c>
      <c r="L36" s="30">
        <f>SKUTable[[#This Row],[毛利(元/份)]]/SKUTable[[#This Row],[总成本(元/份)]]*100</f>
        <v>227.153762268266</v>
      </c>
      <c r="M36" s="30">
        <f t="shared" si="1"/>
        <v>69.4333333333333</v>
      </c>
    </row>
    <row r="40" spans="5:5">
      <c r="E40" s="8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{7e516038-da46-4e69-93a5-b3125136e3da}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516038-da46-4e69-93a5-b3125136e3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zoomScale="90" zoomScaleNormal="90" workbookViewId="0">
      <selection activeCell="A3" sqref="A3"/>
    </sheetView>
  </sheetViews>
  <sheetFormatPr defaultColWidth="20.6923076923077" defaultRowHeight="20" customHeight="1" outlineLevelCol="3"/>
  <cols>
    <col min="1" max="1" width="31.8942307692308" customWidth="1"/>
    <col min="2" max="16383" width="20.6923076923077" customWidth="1"/>
  </cols>
  <sheetData>
    <row r="1" customHeight="1" spans="1:4">
      <c r="A1" t="s">
        <v>71</v>
      </c>
      <c r="B1" t="s">
        <v>72</v>
      </c>
      <c r="C1" t="s">
        <v>73</v>
      </c>
      <c r="D1" t="s">
        <v>74</v>
      </c>
    </row>
    <row r="2" customHeight="1" spans="1:4">
      <c r="A2" t="s">
        <v>75</v>
      </c>
      <c r="B2" t="s">
        <v>76</v>
      </c>
      <c r="C2" t="s">
        <v>77</v>
      </c>
      <c r="D2" t="s">
        <v>78</v>
      </c>
    </row>
    <row r="3" customHeight="1" spans="1:4">
      <c r="A3" t="s">
        <v>75</v>
      </c>
      <c r="B3" t="s">
        <v>79</v>
      </c>
      <c r="C3" t="s">
        <v>80</v>
      </c>
      <c r="D3" t="s">
        <v>78</v>
      </c>
    </row>
    <row r="4" customHeight="1" spans="1:4">
      <c r="A4" t="s">
        <v>81</v>
      </c>
      <c r="B4" t="s">
        <v>76</v>
      </c>
      <c r="C4" s="1" t="s">
        <v>82</v>
      </c>
      <c r="D4" t="s">
        <v>78</v>
      </c>
    </row>
    <row r="5" customHeight="1" spans="1:4">
      <c r="A5" t="s">
        <v>81</v>
      </c>
      <c r="B5" t="s">
        <v>79</v>
      </c>
      <c r="C5" t="s">
        <v>83</v>
      </c>
      <c r="D5" t="s">
        <v>78</v>
      </c>
    </row>
    <row r="6" customHeight="1" spans="1:4">
      <c r="A6" t="s">
        <v>84</v>
      </c>
      <c r="B6" t="s">
        <v>76</v>
      </c>
      <c r="C6" t="s">
        <v>80</v>
      </c>
      <c r="D6" t="s">
        <v>78</v>
      </c>
    </row>
    <row r="7" customHeight="1" spans="1:4">
      <c r="A7" t="s">
        <v>84</v>
      </c>
      <c r="B7" t="s">
        <v>79</v>
      </c>
      <c r="C7" t="s">
        <v>85</v>
      </c>
      <c r="D7" t="s">
        <v>78</v>
      </c>
    </row>
    <row r="8" customHeight="1" spans="1:4">
      <c r="A8" t="s">
        <v>86</v>
      </c>
      <c r="B8" t="s">
        <v>76</v>
      </c>
      <c r="C8" t="s">
        <v>80</v>
      </c>
      <c r="D8" t="s">
        <v>78</v>
      </c>
    </row>
    <row r="9" customHeight="1" spans="1:4">
      <c r="A9" t="s">
        <v>87</v>
      </c>
      <c r="B9" t="s">
        <v>76</v>
      </c>
      <c r="C9" t="s">
        <v>80</v>
      </c>
      <c r="D9" t="s">
        <v>78</v>
      </c>
    </row>
    <row r="10" customHeight="1" spans="1:4">
      <c r="A10" t="s">
        <v>88</v>
      </c>
      <c r="B10" t="s">
        <v>89</v>
      </c>
      <c r="C10" t="s">
        <v>82</v>
      </c>
      <c r="D10" t="s">
        <v>78</v>
      </c>
    </row>
    <row r="11" customHeight="1" spans="1:4">
      <c r="A11" t="s">
        <v>88</v>
      </c>
      <c r="B11" t="s">
        <v>90</v>
      </c>
      <c r="C11" t="s">
        <v>83</v>
      </c>
      <c r="D11" t="s">
        <v>78</v>
      </c>
    </row>
    <row r="14" customHeight="1" spans="1:4">
      <c r="A14" t="s">
        <v>91</v>
      </c>
      <c r="B14" t="s">
        <v>76</v>
      </c>
      <c r="C14" t="s">
        <v>80</v>
      </c>
      <c r="D14" t="s">
        <v>92</v>
      </c>
    </row>
    <row r="15" customHeight="1" spans="1:4">
      <c r="A15" t="s">
        <v>91</v>
      </c>
      <c r="B15" t="s">
        <v>79</v>
      </c>
      <c r="C15" t="s">
        <v>85</v>
      </c>
      <c r="D15" t="s">
        <v>92</v>
      </c>
    </row>
    <row r="16" customHeight="1" spans="1:4">
      <c r="A16" t="s">
        <v>93</v>
      </c>
      <c r="B16" t="s">
        <v>76</v>
      </c>
      <c r="C16" t="s">
        <v>80</v>
      </c>
      <c r="D16" t="s">
        <v>92</v>
      </c>
    </row>
    <row r="17" customHeight="1" spans="1:4">
      <c r="A17" t="s">
        <v>93</v>
      </c>
      <c r="B17" t="s">
        <v>79</v>
      </c>
      <c r="C17" t="s">
        <v>85</v>
      </c>
      <c r="D17" t="s">
        <v>92</v>
      </c>
    </row>
    <row r="20" customHeight="1" spans="1:4">
      <c r="A20" t="s">
        <v>94</v>
      </c>
      <c r="B20" t="s">
        <v>95</v>
      </c>
      <c r="C20" t="s">
        <v>80</v>
      </c>
      <c r="D20" t="s">
        <v>96</v>
      </c>
    </row>
    <row r="21" customHeight="1" spans="1:4">
      <c r="A21" t="s">
        <v>97</v>
      </c>
      <c r="B21" t="s">
        <v>95</v>
      </c>
      <c r="C21" t="s">
        <v>80</v>
      </c>
      <c r="D21" t="s">
        <v>96</v>
      </c>
    </row>
    <row r="22" customHeight="1" spans="1:4">
      <c r="A22" t="s">
        <v>98</v>
      </c>
      <c r="B22" t="s">
        <v>95</v>
      </c>
      <c r="C22" t="s">
        <v>80</v>
      </c>
      <c r="D22" t="s">
        <v>96</v>
      </c>
    </row>
    <row r="23" customHeight="1" spans="1:4">
      <c r="A23" t="s">
        <v>50</v>
      </c>
      <c r="B23" t="s">
        <v>95</v>
      </c>
      <c r="C23" t="s">
        <v>80</v>
      </c>
      <c r="D23" t="s">
        <v>96</v>
      </c>
    </row>
    <row r="24" customHeight="1" spans="1:4">
      <c r="A24" t="s">
        <v>48</v>
      </c>
      <c r="B24" t="s">
        <v>95</v>
      </c>
      <c r="C24" t="s">
        <v>80</v>
      </c>
      <c r="D24" t="s">
        <v>96</v>
      </c>
    </row>
    <row r="25" customHeight="1" spans="1:4">
      <c r="A25" t="s">
        <v>99</v>
      </c>
      <c r="B25" t="s">
        <v>95</v>
      </c>
      <c r="C25" t="s">
        <v>100</v>
      </c>
      <c r="D25" t="s">
        <v>96</v>
      </c>
    </row>
    <row r="27" customHeight="1" spans="1:4">
      <c r="A27" t="s">
        <v>15</v>
      </c>
      <c r="B27" t="s">
        <v>101</v>
      </c>
      <c r="C27" t="s">
        <v>100</v>
      </c>
      <c r="D27" t="s">
        <v>102</v>
      </c>
    </row>
    <row r="28" customFormat="1" customHeight="1" spans="1:4">
      <c r="A28" t="s">
        <v>103</v>
      </c>
      <c r="B28" t="s">
        <v>104</v>
      </c>
      <c r="C28" t="s">
        <v>77</v>
      </c>
      <c r="D28" t="s">
        <v>102</v>
      </c>
    </row>
    <row r="29" customFormat="1" customHeight="1" spans="1:4">
      <c r="A29" t="s">
        <v>28</v>
      </c>
      <c r="B29" t="s">
        <v>104</v>
      </c>
      <c r="C29" t="s">
        <v>77</v>
      </c>
      <c r="D29" t="s">
        <v>102</v>
      </c>
    </row>
    <row r="30" customFormat="1" customHeight="1" spans="1:4">
      <c r="A30" t="s">
        <v>13</v>
      </c>
      <c r="B30" t="s">
        <v>101</v>
      </c>
      <c r="C30" t="s">
        <v>100</v>
      </c>
      <c r="D30" t="s">
        <v>102</v>
      </c>
    </row>
    <row r="31" customFormat="1" customHeight="1" spans="1:4">
      <c r="A31" t="s">
        <v>105</v>
      </c>
      <c r="B31" t="s">
        <v>106</v>
      </c>
      <c r="C31" t="s">
        <v>100</v>
      </c>
      <c r="D31" t="s">
        <v>102</v>
      </c>
    </row>
    <row r="32" customHeight="1" spans="1:4">
      <c r="A32" t="s">
        <v>22</v>
      </c>
      <c r="B32" t="s">
        <v>107</v>
      </c>
      <c r="C32" t="s">
        <v>108</v>
      </c>
      <c r="D32" t="s">
        <v>102</v>
      </c>
    </row>
    <row r="33" customHeight="1" spans="1:4">
      <c r="A33" t="s">
        <v>19</v>
      </c>
      <c r="B33" t="s">
        <v>107</v>
      </c>
      <c r="C33" t="s">
        <v>109</v>
      </c>
      <c r="D33" t="s">
        <v>102</v>
      </c>
    </row>
    <row r="34" customHeight="1" spans="1:4">
      <c r="A34" t="s">
        <v>17</v>
      </c>
      <c r="B34" t="s">
        <v>110</v>
      </c>
      <c r="C34" t="s">
        <v>109</v>
      </c>
      <c r="D34" t="s">
        <v>102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堂食菜单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2026-02-12T20:30:00Z</dcterms:created>
  <dcterms:modified xsi:type="dcterms:W3CDTF">2026-04-06T22:21:35Z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