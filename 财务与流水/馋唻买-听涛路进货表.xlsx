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16040" activeTab="1"/>
  </bookViews>
  <sheets>
    <sheet name="堂食利润" sheetId="1" r:id="rId1"/>
    <sheet name="菜单" sheetId="3" r:id="rId2"/>
  </sheets>
  <calcPr calcId="144525"/>
</workbook>
</file>

<file path=xl/sharedStrings.xml><?xml version="1.0" encoding="utf-8"?>
<sst xmlns="http://schemas.openxmlformats.org/spreadsheetml/2006/main" count="161" uniqueCount="103">
  <si>
    <t>SKU</t>
  </si>
  <si>
    <t>进货价格(元/500g)</t>
  </si>
  <si>
    <t>运费(元/500g)</t>
  </si>
  <si>
    <t>每份制作重量(g)</t>
  </si>
  <si>
    <t>成份说明</t>
  </si>
  <si>
    <t>食材成本(元/份)</t>
  </si>
  <si>
    <t>打包成本(元/份)</t>
  </si>
  <si>
    <t>调味成本(元/份)</t>
  </si>
  <si>
    <t>总成本(元/份)</t>
  </si>
  <si>
    <t>堂食价(元/份)</t>
  </si>
  <si>
    <t>毛利(元/份)</t>
  </si>
  <si>
    <t>利润率(%)</t>
  </si>
  <si>
    <t>毛利率(%)</t>
  </si>
  <si>
    <t>拇指小笼包</t>
  </si>
  <si>
    <t>小笼包</t>
  </si>
  <si>
    <t>沙县蒸饺</t>
  </si>
  <si>
    <t>蒸饺</t>
  </si>
  <si>
    <t>纯肉烤肠</t>
  </si>
  <si>
    <t>烤肠</t>
  </si>
  <si>
    <t>蜜汁鸭爪</t>
  </si>
  <si>
    <t>/</t>
  </si>
  <si>
    <t>鸭爪</t>
  </si>
  <si>
    <t>蜜汁鸡翅</t>
  </si>
  <si>
    <t>鸡翅</t>
  </si>
  <si>
    <t>烧卖3个（随机）</t>
  </si>
  <si>
    <t>烧卖</t>
  </si>
  <si>
    <t>包心鱼丸</t>
  </si>
  <si>
    <t>鱼丸</t>
  </si>
  <si>
    <t>潮汕牛肉丸</t>
  </si>
  <si>
    <t>牛丸</t>
  </si>
  <si>
    <t>可乐</t>
  </si>
  <si>
    <t>雪碧</t>
  </si>
  <si>
    <t>经典瘦肉丸(240g)</t>
  </si>
  <si>
    <t>瘦肉丸、调味品</t>
  </si>
  <si>
    <t>经典瘦肉丸(370g)</t>
  </si>
  <si>
    <t>肉筋瘦肉丸(240g)</t>
  </si>
  <si>
    <t>肉筋、调味品</t>
  </si>
  <si>
    <t>肉筋瘦肉丸(370g)</t>
  </si>
  <si>
    <t>牛肉瘦肉丸(200g)</t>
  </si>
  <si>
    <t>牛肉羹</t>
  </si>
  <si>
    <t>牛肉瘦肉丸(240g)</t>
  </si>
  <si>
    <t>牛肉瘦肉丸(370g)</t>
  </si>
  <si>
    <t>手工肉燕（180g)</t>
  </si>
  <si>
    <t>肉燕</t>
  </si>
  <si>
    <t>手工肉燕（240g)</t>
  </si>
  <si>
    <t>燕面</t>
  </si>
  <si>
    <t>燕面+瘦肉丸</t>
  </si>
  <si>
    <t>燕面、瘦肉丸、调味品</t>
  </si>
  <si>
    <t>燕面拌瘦肉丸</t>
  </si>
  <si>
    <t>拌瘦肉丸(240g)</t>
  </si>
  <si>
    <t>酸笋瘦肉丸(240g)</t>
  </si>
  <si>
    <t>酸笋、瘦肉丸、调味品</t>
  </si>
  <si>
    <t>酸笋瘦肉丸(370g)</t>
  </si>
  <si>
    <t>金汤</t>
  </si>
  <si>
    <t>金汤酸菜瘦肉丸(240g)</t>
  </si>
  <si>
    <t>金汤、酸菜、瘦肉丸、调味品</t>
  </si>
  <si>
    <t>金汤酸菜瘦肉丸(370g)</t>
  </si>
  <si>
    <t>金汤酸菜泡面+瘦肉丸(370g)</t>
  </si>
  <si>
    <t>金汤、酸菜、瘦肉丸、泡面、调味品</t>
  </si>
  <si>
    <t>双拼（经典+肉筋）(370g)</t>
  </si>
  <si>
    <t>瘦肉丸、肉筋、调味品</t>
  </si>
  <si>
    <t>双拼（经典+牛肉）(370g)</t>
  </si>
  <si>
    <t>瘦肉丸、牛肉瘦肉丸、调味品</t>
  </si>
  <si>
    <t>三拼（经典+牛肉+肉燕）(370g)</t>
  </si>
  <si>
    <t>瘦肉丸、肉燕、肉牛瘦肉丸、调味品</t>
  </si>
  <si>
    <t>金汤酸菜弹粉+瘦肉丸(特大碗)</t>
  </si>
  <si>
    <t>金汤、酸菜、弹粉、瘦肉丸、调味品</t>
  </si>
  <si>
    <t>火鸡面拌瘦肉丸(119+90)</t>
  </si>
  <si>
    <t>火鸡面、瘦肉丸、调味品</t>
  </si>
  <si>
    <t>菜品名</t>
  </si>
  <si>
    <t>单价</t>
  </si>
  <si>
    <t>进货渠道</t>
  </si>
  <si>
    <t>联系方式</t>
  </si>
  <si>
    <t xml:space="preserve">肉片 </t>
  </si>
  <si>
    <t>8/斤</t>
  </si>
  <si>
    <t>硕美</t>
  </si>
  <si>
    <t>11/斤</t>
  </si>
  <si>
    <t>17/斤</t>
  </si>
  <si>
    <t>1.3/个</t>
  </si>
  <si>
    <t>3/个</t>
  </si>
  <si>
    <t>表哥联系老家人寄</t>
  </si>
  <si>
    <t>白琳肉筋</t>
  </si>
  <si>
    <t>9/斤</t>
  </si>
  <si>
    <t>火鸡面</t>
  </si>
  <si>
    <t>2.1/包</t>
  </si>
  <si>
    <t>拼多多</t>
  </si>
  <si>
    <t>打包盒</t>
  </si>
  <si>
    <t>易买买小程序</t>
  </si>
  <si>
    <t>纸皮烧卖</t>
  </si>
  <si>
    <t>快驴</t>
  </si>
  <si>
    <t>调味粉</t>
  </si>
  <si>
    <t>厂家进货/线下购买</t>
  </si>
  <si>
    <t>香菜/葱</t>
  </si>
  <si>
    <t>快驴/菜场</t>
  </si>
  <si>
    <t>盒马/拼多多</t>
  </si>
  <si>
    <t>福州鱼丸</t>
  </si>
  <si>
    <t>盒马</t>
  </si>
  <si>
    <t>弹粉</t>
  </si>
  <si>
    <t>虾皮</t>
  </si>
  <si>
    <t>溜溜粉</t>
  </si>
  <si>
    <t>可乐雪碧</t>
  </si>
  <si>
    <t>拼多多/快驴</t>
  </si>
  <si>
    <t>其他</t>
  </si>
</sst>
</file>

<file path=xl/styles.xml><?xml version="1.0" encoding="utf-8"?>
<styleSheet xmlns="http://schemas.openxmlformats.org/spreadsheetml/2006/main">
  <numFmts count="7">
    <numFmt numFmtId="176" formatCode="0.000_);\(0.000\)"/>
    <numFmt numFmtId="177" formatCode="#,##0.00_ "/>
    <numFmt numFmtId="178" formatCode="0.00_);[Red]\(0.00\)"/>
    <numFmt numFmtId="42" formatCode="_ &quot;￥&quot;* #,##0_ ;_ &quot;￥&quot;* \-#,##0_ ;_ &quot;￥&quot;* &quot;-&quot;_ ;_ @_ "/>
    <numFmt numFmtId="43" formatCode="_ * #,##0.00_ ;_ * \-#,##0.00_ ;_ * &quot;-&quot;??_ ;_ @_ "/>
    <numFmt numFmtId="41" formatCode="_ * #,##0_ ;_ * \-#,##0_ ;_ * &quot;-&quot;_ ;_ @_ "/>
    <numFmt numFmtId="44" formatCode="_ &quot;￥&quot;* #,##0.00_ ;_ &quot;￥&quot;* \-#,##0.00_ ;_ &quot;￥&quot;* &quot;-&quot;??_ ;_ @_ "/>
  </numFmts>
  <fonts count="42">
    <font>
      <sz val="11"/>
      <color theme="1"/>
      <name val="宋体"/>
      <charset val="134"/>
      <scheme val="minor"/>
    </font>
    <font>
      <b/>
      <sz val="11"/>
      <color theme="0"/>
      <name val="宋体"/>
      <charset val="134"/>
      <scheme val="minor"/>
    </font>
    <font>
      <sz val="11"/>
      <color theme="1"/>
      <name val="宋体"/>
      <charset val="134"/>
      <scheme val="minor"/>
    </font>
    <font>
      <b/>
      <sz val="11"/>
      <color theme="1"/>
      <name val="宋体"/>
      <charset val="134"/>
    </font>
    <font>
      <b/>
      <sz val="11"/>
      <color theme="1"/>
      <name val="宋体"/>
      <charset val="134"/>
      <scheme val="minor"/>
    </font>
    <font>
      <b/>
      <sz val="11"/>
      <color rgb="FFFFFFFF"/>
      <name val="宋体"/>
      <charset val="134"/>
    </font>
    <font>
      <sz val="11"/>
      <color theme="1"/>
      <name val="Calibri"/>
      <charset val="134"/>
    </font>
    <font>
      <b/>
      <sz val="11"/>
      <name val="宋体"/>
      <charset val="134"/>
    </font>
    <font>
      <b/>
      <sz val="11"/>
      <name val="宋体"/>
      <charset val="134"/>
    </font>
    <font>
      <sz val="11"/>
      <name val="Calibri"/>
      <charset val="134"/>
    </font>
    <font>
      <b/>
      <strike/>
      <sz val="11"/>
      <color theme="1"/>
      <name val="宋体"/>
      <charset val="134"/>
    </font>
    <font>
      <strike/>
      <sz val="11"/>
      <color theme="1"/>
      <name val="宋体"/>
      <charset val="134"/>
    </font>
    <font>
      <b/>
      <sz val="11"/>
      <color theme="1"/>
      <name val="宋体"/>
      <charset val="134"/>
    </font>
    <font>
      <b/>
      <sz val="11"/>
      <color rgb="FFFF0000"/>
      <name val="宋体"/>
      <charset val="134"/>
    </font>
    <font>
      <sz val="11"/>
      <color rgb="FFFF0000"/>
      <name val="Calibri"/>
      <charset val="134"/>
    </font>
    <font>
      <sz val="11"/>
      <color theme="1"/>
      <name val="宋体"/>
      <charset val="134"/>
    </font>
    <font>
      <sz val="11"/>
      <name val="宋体"/>
      <charset val="134"/>
    </font>
    <font>
      <strike/>
      <sz val="11"/>
      <name val="宋体"/>
      <charset val="134"/>
    </font>
    <font>
      <sz val="11"/>
      <color rgb="FFFF0000"/>
      <name val="宋体"/>
      <charset val="134"/>
    </font>
    <font>
      <b/>
      <sz val="11"/>
      <color theme="1"/>
      <name val="Calibri"/>
      <charset val="134"/>
    </font>
    <font>
      <b/>
      <sz val="11"/>
      <name val="Calibri"/>
      <charset val="134"/>
    </font>
    <font>
      <b/>
      <strike/>
      <sz val="11"/>
      <name val="宋体"/>
      <charset val="134"/>
    </font>
    <font>
      <b/>
      <sz val="11"/>
      <color rgb="FFFF0000"/>
      <name val="Calibri"/>
      <charset val="134"/>
    </font>
    <font>
      <sz val="11"/>
      <color theme="1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b/>
      <sz val="11"/>
      <color theme="3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FFFFF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FF0000"/>
      <name val="宋体"/>
      <charset val="0"/>
      <scheme val="minor"/>
    </font>
    <font>
      <i/>
      <sz val="11"/>
      <color rgb="FF7F7F7F"/>
      <name val="宋体"/>
      <charset val="0"/>
      <scheme val="minor"/>
    </font>
    <font>
      <b/>
      <sz val="18"/>
      <color theme="3"/>
      <name val="宋体"/>
      <charset val="134"/>
      <scheme val="minor"/>
    </font>
    <font>
      <sz val="11"/>
      <color rgb="FF006100"/>
      <name val="宋体"/>
      <charset val="0"/>
      <scheme val="minor"/>
    </font>
    <font>
      <b/>
      <sz val="13"/>
      <color theme="3"/>
      <name val="宋体"/>
      <charset val="134"/>
      <scheme val="minor"/>
    </font>
    <font>
      <b/>
      <sz val="11"/>
      <color rgb="FFFA7D00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5"/>
      <color theme="3"/>
      <name val="宋体"/>
      <charset val="134"/>
      <scheme val="minor"/>
    </font>
  </fonts>
  <fills count="40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4" tint="0.599993896298105"/>
        <bgColor theme="4" tint="0.599993896298105"/>
      </patternFill>
    </fill>
    <fill>
      <patternFill patternType="solid">
        <fgColor theme="4" tint="0.799951170384838"/>
        <bgColor theme="4" tint="0.799951170384838"/>
      </patternFill>
    </fill>
    <fill>
      <patternFill patternType="solid">
        <fgColor rgb="FF4472C4"/>
        <bgColor indexed="64"/>
      </patternFill>
    </fill>
    <fill>
      <patternFill patternType="solid">
        <fgColor theme="0" tint="-0.149906918546098"/>
        <bgColor indexed="64"/>
      </patternFill>
    </fill>
    <fill>
      <patternFill patternType="solid">
        <fgColor theme="3" tint="0.799890133365886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</fills>
  <borders count="16">
    <border>
      <left/>
      <right/>
      <top/>
      <bottom/>
      <diagonal/>
    </border>
    <border>
      <left/>
      <right style="thin">
        <color theme="0"/>
      </right>
      <top/>
      <bottom style="thick">
        <color theme="0"/>
      </bottom>
      <diagonal/>
    </border>
    <border>
      <left style="thin">
        <color theme="0"/>
      </left>
      <right style="thin">
        <color theme="0"/>
      </right>
      <top/>
      <bottom style="thick">
        <color theme="0"/>
      </bottom>
      <diagonal/>
    </border>
    <border>
      <left/>
      <right style="thin">
        <color theme="0"/>
      </right>
      <top style="thick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ck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</borders>
  <cellStyleXfs count="49">
    <xf numFmtId="0" fontId="0" fillId="0" borderId="0"/>
    <xf numFmtId="0" fontId="25" fillId="36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5" fillId="39" borderId="0" applyNumberFormat="0" applyBorder="0" applyAlignment="0" applyProtection="0">
      <alignment vertical="center"/>
    </xf>
    <xf numFmtId="0" fontId="39" fillId="27" borderId="13" applyNumberFormat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0" fontId="25" fillId="38" borderId="0" applyNumberFormat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5" fillId="35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38" fillId="20" borderId="13" applyNumberFormat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3" fillId="37" borderId="0" applyNumberFormat="0" applyBorder="0" applyAlignment="0" applyProtection="0">
      <alignment vertical="center"/>
    </xf>
    <xf numFmtId="0" fontId="36" fillId="24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31" fillId="0" borderId="11" applyNumberFormat="0" applyFill="0" applyAlignment="0" applyProtection="0">
      <alignment vertical="center"/>
    </xf>
    <xf numFmtId="0" fontId="32" fillId="22" borderId="0" applyNumberFormat="0" applyBorder="0" applyAlignment="0" applyProtection="0">
      <alignment vertical="center"/>
    </xf>
    <xf numFmtId="0" fontId="30" fillId="21" borderId="10" applyNumberFormat="0" applyAlignment="0" applyProtection="0">
      <alignment vertical="center"/>
    </xf>
    <xf numFmtId="0" fontId="29" fillId="20" borderId="9" applyNumberFormat="0" applyAlignment="0" applyProtection="0">
      <alignment vertical="center"/>
    </xf>
    <xf numFmtId="0" fontId="41" fillId="0" borderId="12" applyNumberFormat="0" applyFill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0" fillId="30" borderId="15" applyNumberFormat="0" applyFont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37" fillId="0" borderId="12" applyNumberFormat="0" applyFill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7" fillId="0" borderId="8" applyNumberFormat="0" applyFill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40" fillId="0" borderId="14" applyNumberFormat="0" applyFill="0" applyAlignment="0" applyProtection="0">
      <alignment vertical="center"/>
    </xf>
  </cellStyleXfs>
  <cellXfs count="59">
    <xf numFmtId="0" fontId="0" fillId="0" borderId="0" xfId="0"/>
    <xf numFmtId="0" fontId="1" fillId="2" borderId="1" xfId="0" applyFont="1" applyFill="1" applyBorder="1"/>
    <xf numFmtId="0" fontId="1" fillId="2" borderId="2" xfId="0" applyFont="1" applyFill="1" applyBorder="1"/>
    <xf numFmtId="0" fontId="0" fillId="3" borderId="3" xfId="0" applyFill="1" applyBorder="1"/>
    <xf numFmtId="0" fontId="0" fillId="3" borderId="4" xfId="0" applyFill="1" applyBorder="1"/>
    <xf numFmtId="0" fontId="2" fillId="3" borderId="4" xfId="0" applyFont="1" applyFill="1" applyBorder="1"/>
    <xf numFmtId="0" fontId="0" fillId="4" borderId="5" xfId="0" applyFill="1" applyBorder="1"/>
    <xf numFmtId="0" fontId="0" fillId="4" borderId="6" xfId="0" applyFill="1" applyBorder="1"/>
    <xf numFmtId="0" fontId="0" fillId="3" borderId="5" xfId="0" applyFill="1" applyBorder="1"/>
    <xf numFmtId="0" fontId="0" fillId="3" borderId="6" xfId="0" applyFill="1" applyBorder="1"/>
    <xf numFmtId="0" fontId="2" fillId="3" borderId="6" xfId="0" applyFont="1" applyFill="1" applyBorder="1" applyAlignment="1">
      <alignment horizontal="left"/>
    </xf>
    <xf numFmtId="0" fontId="2" fillId="4" borderId="6" xfId="0" applyFont="1" applyFill="1" applyBorder="1"/>
    <xf numFmtId="0" fontId="2" fillId="3" borderId="6" xfId="0" applyFont="1" applyFill="1" applyBorder="1"/>
    <xf numFmtId="0" fontId="0" fillId="0" borderId="0" xfId="0" applyAlignment="1">
      <alignment wrapText="1"/>
    </xf>
    <xf numFmtId="0" fontId="3" fillId="0" borderId="0" xfId="0" applyFont="1"/>
    <xf numFmtId="178" fontId="0" fillId="0" borderId="0" xfId="0" applyNumberFormat="1" applyAlignment="1">
      <alignment horizontal="center" wrapText="1"/>
    </xf>
    <xf numFmtId="3" fontId="0" fillId="0" borderId="0" xfId="0" applyNumberFormat="1" applyAlignment="1">
      <alignment horizontal="center" wrapText="1"/>
    </xf>
    <xf numFmtId="4" fontId="0" fillId="0" borderId="0" xfId="0" applyNumberFormat="1" applyAlignment="1">
      <alignment horizontal="center" wrapText="1"/>
    </xf>
    <xf numFmtId="4" fontId="4" fillId="0" borderId="0" xfId="0" applyNumberFormat="1" applyFont="1" applyAlignment="1">
      <alignment horizontal="center" wrapText="1"/>
    </xf>
    <xf numFmtId="177" fontId="0" fillId="0" borderId="0" xfId="0" applyNumberFormat="1" applyAlignment="1">
      <alignment horizontal="center" wrapText="1"/>
    </xf>
    <xf numFmtId="0" fontId="5" fillId="5" borderId="7" xfId="0" applyFont="1" applyFill="1" applyBorder="1" applyAlignment="1">
      <alignment horizontal="center" wrapText="1"/>
    </xf>
    <xf numFmtId="178" fontId="5" fillId="5" borderId="7" xfId="0" applyNumberFormat="1" applyFont="1" applyFill="1" applyBorder="1" applyAlignment="1">
      <alignment horizontal="center" wrapText="1"/>
    </xf>
    <xf numFmtId="3" fontId="5" fillId="5" borderId="7" xfId="0" applyNumberFormat="1" applyFont="1" applyFill="1" applyBorder="1" applyAlignment="1">
      <alignment horizontal="center" wrapText="1"/>
    </xf>
    <xf numFmtId="0" fontId="3" fillId="0" borderId="7" xfId="0" applyFont="1" applyBorder="1" applyAlignment="1">
      <alignment horizontal="center" vertical="center"/>
    </xf>
    <xf numFmtId="178" fontId="6" fillId="6" borderId="7" xfId="0" applyNumberFormat="1" applyFont="1" applyFill="1" applyBorder="1" applyAlignment="1">
      <alignment horizontal="center" vertical="center" wrapText="1"/>
    </xf>
    <xf numFmtId="3" fontId="6" fillId="6" borderId="7" xfId="0" applyNumberFormat="1" applyFont="1" applyFill="1" applyBorder="1" applyAlignment="1">
      <alignment horizontal="center" vertical="center" wrapText="1"/>
    </xf>
    <xf numFmtId="0" fontId="7" fillId="0" borderId="7" xfId="0" applyFont="1" applyBorder="1" applyAlignment="1">
      <alignment horizontal="center" vertical="center"/>
    </xf>
    <xf numFmtId="0" fontId="8" fillId="0" borderId="7" xfId="0" applyFont="1" applyBorder="1" applyAlignment="1">
      <alignment horizontal="center" vertical="center"/>
    </xf>
    <xf numFmtId="178" fontId="9" fillId="6" borderId="7" xfId="0" applyNumberFormat="1" applyFont="1" applyFill="1" applyBorder="1" applyAlignment="1">
      <alignment horizontal="center" vertical="center" wrapText="1"/>
    </xf>
    <xf numFmtId="3" fontId="9" fillId="6" borderId="7" xfId="0" applyNumberFormat="1" applyFont="1" applyFill="1" applyBorder="1" applyAlignment="1">
      <alignment horizontal="center" vertical="center" wrapText="1"/>
    </xf>
    <xf numFmtId="0" fontId="10" fillId="0" borderId="7" xfId="0" applyFont="1" applyBorder="1" applyAlignment="1">
      <alignment horizontal="center" vertical="center"/>
    </xf>
    <xf numFmtId="178" fontId="11" fillId="6" borderId="7" xfId="0" applyNumberFormat="1" applyFont="1" applyFill="1" applyBorder="1" applyAlignment="1">
      <alignment horizontal="center" vertical="center" wrapText="1"/>
    </xf>
    <xf numFmtId="3" fontId="11" fillId="6" borderId="7" xfId="0" applyNumberFormat="1" applyFont="1" applyFill="1" applyBorder="1" applyAlignment="1">
      <alignment horizontal="center" vertical="center" wrapText="1"/>
    </xf>
    <xf numFmtId="0" fontId="12" fillId="0" borderId="7" xfId="0" applyFont="1" applyBorder="1" applyAlignment="1">
      <alignment horizontal="center" vertical="center"/>
    </xf>
    <xf numFmtId="0" fontId="13" fillId="0" borderId="7" xfId="0" applyFont="1" applyBorder="1" applyAlignment="1">
      <alignment horizontal="center" vertical="center"/>
    </xf>
    <xf numFmtId="178" fontId="14" fillId="6" borderId="7" xfId="0" applyNumberFormat="1" applyFont="1" applyFill="1" applyBorder="1" applyAlignment="1">
      <alignment horizontal="center" vertical="center" wrapText="1"/>
    </xf>
    <xf numFmtId="3" fontId="14" fillId="6" borderId="7" xfId="0" applyNumberFormat="1" applyFont="1" applyFill="1" applyBorder="1" applyAlignment="1">
      <alignment horizontal="center" vertical="center" wrapText="1"/>
    </xf>
    <xf numFmtId="4" fontId="5" fillId="5" borderId="7" xfId="0" applyNumberFormat="1" applyFont="1" applyFill="1" applyBorder="1" applyAlignment="1">
      <alignment horizontal="center" wrapText="1"/>
    </xf>
    <xf numFmtId="3" fontId="15" fillId="6" borderId="7" xfId="0" applyNumberFormat="1" applyFont="1" applyFill="1" applyBorder="1" applyAlignment="1">
      <alignment horizontal="center" vertical="center" wrapText="1"/>
    </xf>
    <xf numFmtId="4" fontId="6" fillId="7" borderId="7" xfId="0" applyNumberFormat="1" applyFont="1" applyFill="1" applyBorder="1" applyAlignment="1">
      <alignment horizontal="center" vertical="center" wrapText="1"/>
    </xf>
    <xf numFmtId="176" fontId="6" fillId="7" borderId="7" xfId="0" applyNumberFormat="1" applyFont="1" applyFill="1" applyBorder="1" applyAlignment="1">
      <alignment horizontal="center" vertical="center" wrapText="1"/>
    </xf>
    <xf numFmtId="3" fontId="16" fillId="6" borderId="7" xfId="0" applyNumberFormat="1" applyFont="1" applyFill="1" applyBorder="1" applyAlignment="1">
      <alignment horizontal="center" vertical="center" wrapText="1"/>
    </xf>
    <xf numFmtId="176" fontId="9" fillId="7" borderId="7" xfId="0" applyNumberFormat="1" applyFont="1" applyFill="1" applyBorder="1" applyAlignment="1">
      <alignment horizontal="center" vertical="center" wrapText="1"/>
    </xf>
    <xf numFmtId="176" fontId="11" fillId="7" borderId="7" xfId="0" applyNumberFormat="1" applyFont="1" applyFill="1" applyBorder="1" applyAlignment="1">
      <alignment horizontal="center" vertical="center" wrapText="1"/>
    </xf>
    <xf numFmtId="176" fontId="17" fillId="7" borderId="7" xfId="0" applyNumberFormat="1" applyFont="1" applyFill="1" applyBorder="1" applyAlignment="1">
      <alignment horizontal="center" vertical="center" wrapText="1"/>
    </xf>
    <xf numFmtId="3" fontId="18" fillId="6" borderId="7" xfId="0" applyNumberFormat="1" applyFont="1" applyFill="1" applyBorder="1" applyAlignment="1">
      <alignment horizontal="center" vertical="center" wrapText="1"/>
    </xf>
    <xf numFmtId="176" fontId="14" fillId="7" borderId="7" xfId="0" applyNumberFormat="1" applyFont="1" applyFill="1" applyBorder="1" applyAlignment="1">
      <alignment horizontal="center" vertical="center" wrapText="1"/>
    </xf>
    <xf numFmtId="177" fontId="5" fillId="5" borderId="7" xfId="0" applyNumberFormat="1" applyFont="1" applyFill="1" applyBorder="1" applyAlignment="1">
      <alignment horizontal="center" wrapText="1"/>
    </xf>
    <xf numFmtId="4" fontId="19" fillId="7" borderId="7" xfId="0" applyNumberFormat="1" applyFont="1" applyFill="1" applyBorder="1" applyAlignment="1">
      <alignment horizontal="center" vertical="center" wrapText="1"/>
    </xf>
    <xf numFmtId="177" fontId="6" fillId="7" borderId="7" xfId="0" applyNumberFormat="1" applyFont="1" applyFill="1" applyBorder="1" applyAlignment="1">
      <alignment horizontal="center" vertical="center" wrapText="1"/>
    </xf>
    <xf numFmtId="4" fontId="6" fillId="8" borderId="7" xfId="0" applyNumberFormat="1" applyFont="1" applyFill="1" applyBorder="1" applyAlignment="1">
      <alignment horizontal="center" vertical="center" wrapText="1"/>
    </xf>
    <xf numFmtId="176" fontId="19" fillId="7" borderId="7" xfId="0" applyNumberFormat="1" applyFont="1" applyFill="1" applyBorder="1" applyAlignment="1">
      <alignment horizontal="center" vertical="center" wrapText="1"/>
    </xf>
    <xf numFmtId="176" fontId="6" fillId="8" borderId="7" xfId="0" applyNumberFormat="1" applyFont="1" applyFill="1" applyBorder="1" applyAlignment="1">
      <alignment horizontal="center" vertical="center" wrapText="1"/>
    </xf>
    <xf numFmtId="176" fontId="20" fillId="7" borderId="7" xfId="0" applyNumberFormat="1" applyFont="1" applyFill="1" applyBorder="1" applyAlignment="1">
      <alignment horizontal="center" vertical="center" wrapText="1"/>
    </xf>
    <xf numFmtId="176" fontId="9" fillId="8" borderId="7" xfId="0" applyNumberFormat="1" applyFont="1" applyFill="1" applyBorder="1" applyAlignment="1">
      <alignment horizontal="center" vertical="center" wrapText="1"/>
    </xf>
    <xf numFmtId="176" fontId="21" fillId="7" borderId="7" xfId="0" applyNumberFormat="1" applyFont="1" applyFill="1" applyBorder="1" applyAlignment="1">
      <alignment horizontal="center" vertical="center" wrapText="1"/>
    </xf>
    <xf numFmtId="176" fontId="11" fillId="8" borderId="7" xfId="0" applyNumberFormat="1" applyFont="1" applyFill="1" applyBorder="1" applyAlignment="1">
      <alignment horizontal="center" vertical="center" wrapText="1"/>
    </xf>
    <xf numFmtId="176" fontId="22" fillId="7" borderId="7" xfId="0" applyNumberFormat="1" applyFont="1" applyFill="1" applyBorder="1" applyAlignment="1">
      <alignment horizontal="center" vertical="center" wrapText="1"/>
    </xf>
    <xf numFmtId="176" fontId="14" fillId="8" borderId="7" xfId="0" applyNumberFormat="1" applyFont="1" applyFill="1" applyBorder="1" applyAlignment="1">
      <alignment horizontal="center" vertical="center" wrapText="1"/>
    </xf>
  </cellXfs>
  <cellStyles count="49">
    <cellStyle name="常规" xfId="0" builtinId="0"/>
    <cellStyle name="60% - 强调文字颜色 6" xfId="1" builtinId="52"/>
    <cellStyle name="20% - 强调文字颜色 4" xfId="2" builtinId="42"/>
    <cellStyle name="强调文字颜色 4" xfId="3" builtinId="41"/>
    <cellStyle name="输入" xfId="4" builtinId="20"/>
    <cellStyle name="40% - 强调文字颜色 3" xfId="5" builtinId="39"/>
    <cellStyle name="20% - 强调文字颜色 3" xfId="6" builtinId="38"/>
    <cellStyle name="货币" xfId="7" builtinId="4"/>
    <cellStyle name="强调文字颜色 3" xfId="8" builtinId="37"/>
    <cellStyle name="百分比" xfId="9" builtinId="5"/>
    <cellStyle name="60% - 强调文字颜色 2" xfId="10" builtinId="36"/>
    <cellStyle name="60% - 强调文字颜色 5" xfId="11" builtinId="48"/>
    <cellStyle name="强调文字颜色 2" xfId="12" builtinId="33"/>
    <cellStyle name="60% - 强调文字颜色 1" xfId="13" builtinId="32"/>
    <cellStyle name="60% - 强调文字颜色 4" xfId="14" builtinId="44"/>
    <cellStyle name="计算" xfId="15" builtinId="22"/>
    <cellStyle name="强调文字颜色 1" xfId="16" builtinId="29"/>
    <cellStyle name="适中" xfId="17" builtinId="28"/>
    <cellStyle name="20% - 强调文字颜色 5" xfId="18" builtinId="46"/>
    <cellStyle name="好" xfId="19" builtinId="26"/>
    <cellStyle name="20% - 强调文字颜色 1" xfId="20" builtinId="30"/>
    <cellStyle name="汇总" xfId="21" builtinId="25"/>
    <cellStyle name="差" xfId="22" builtinId="27"/>
    <cellStyle name="检查单元格" xfId="23" builtinId="23"/>
    <cellStyle name="输出" xfId="24" builtinId="21"/>
    <cellStyle name="标题 1" xfId="25" builtinId="16"/>
    <cellStyle name="解释性文本" xfId="26" builtinId="53"/>
    <cellStyle name="20% - 强调文字颜色 2" xfId="27" builtinId="34"/>
    <cellStyle name="标题 4" xfId="28" builtinId="19"/>
    <cellStyle name="货币[0]" xfId="29" builtinId="7"/>
    <cellStyle name="40% - 强调文字颜色 4" xfId="30" builtinId="43"/>
    <cellStyle name="千位分隔" xfId="31" builtinId="3"/>
    <cellStyle name="已访问的超链接" xfId="32" builtinId="9"/>
    <cellStyle name="标题" xfId="33" builtinId="15"/>
    <cellStyle name="40% - 强调文字颜色 2" xfId="34" builtinId="35"/>
    <cellStyle name="警告文本" xfId="35" builtinId="11"/>
    <cellStyle name="60% - 强调文字颜色 3" xfId="36" builtinId="40"/>
    <cellStyle name="注释" xfId="37" builtinId="10"/>
    <cellStyle name="20% - 强调文字颜色 6" xfId="38" builtinId="50"/>
    <cellStyle name="强调文字颜色 5" xfId="39" builtinId="45"/>
    <cellStyle name="40% - 强调文字颜色 6" xfId="40" builtinId="51"/>
    <cellStyle name="超链接" xfId="41" builtinId="8"/>
    <cellStyle name="千位分隔[0]" xfId="42" builtinId="6"/>
    <cellStyle name="标题 2" xfId="43" builtinId="17"/>
    <cellStyle name="40% - 强调文字颜色 5" xfId="44" builtinId="47"/>
    <cellStyle name="标题 3" xfId="45" builtinId="18"/>
    <cellStyle name="强调文字颜色 6" xfId="46" builtinId="49"/>
    <cellStyle name="40% - 强调文字颜色 1" xfId="47" builtinId="31"/>
    <cellStyle name="链接单元格" xfId="48" builtinId="24"/>
  </cellStyles>
  <dxfs count="13">
    <dxf>
      <font>
        <name val="宋体"/>
        <scheme val="none"/>
        <charset val="134"/>
        <b val="1"/>
        <strike val="0"/>
        <u val="none"/>
        <sz val="11"/>
      </font>
      <alignment horizontal="center" vertical="center"/>
      <border>
        <right style="thin">
          <color rgb="FF000000"/>
        </right>
      </border>
    </dxf>
    <dxf>
      <numFmt numFmtId="178" formatCode="0.00_);[Red]\(0.00\)"/>
      <fill>
        <patternFill patternType="solid">
          <bgColor theme="0" tint="-0.149906918546098"/>
        </patternFill>
      </fill>
      <alignment horizontal="center" vertical="center"/>
      <border>
        <right style="thin">
          <color rgb="FF000000"/>
        </right>
      </border>
    </dxf>
    <dxf>
      <font>
        <name val="Calibri"/>
        <scheme val="none"/>
        <family val="2"/>
        <b val="0"/>
        <i val="0"/>
        <strike val="0"/>
        <u val="none"/>
        <sz val="11"/>
        <color theme="1"/>
      </font>
      <numFmt numFmtId="178" formatCode="0.00_);[Red]\(0.00\)"/>
      <fill>
        <patternFill patternType="solid">
          <bgColor theme="0" tint="-0.149906918546098"/>
        </patternFill>
      </fill>
      <alignment horizontal="center" vertical="center" wrapText="1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ill>
        <patternFill patternType="solid">
          <bgColor theme="0" tint="-0.149906918546098"/>
        </patternFill>
      </fill>
      <alignment horizontal="center" vertical="center"/>
      <border>
        <left style="thin">
          <color rgb="FF000000"/>
        </left>
        <right style="thin">
          <color rgb="FF000000"/>
        </right>
      </border>
    </dxf>
    <dxf>
      <font>
        <name val="Calibri"/>
        <scheme val="none"/>
        <family val="2"/>
        <b val="0"/>
        <i val="0"/>
        <strike val="0"/>
        <u val="none"/>
        <sz val="11"/>
        <color theme="1"/>
      </font>
      <numFmt numFmtId="3" formatCode="#,##0"/>
      <fill>
        <patternFill patternType="solid">
          <bgColor theme="0" tint="-0.149906918546098"/>
        </patternFill>
      </fill>
      <alignment horizontal="center" vertical="center" wrapText="1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ill>
        <patternFill patternType="solid">
          <bgColor theme="3" tint="0.799890133365886"/>
        </patternFill>
      </fill>
      <alignment horizontal="center" vertical="center"/>
      <border>
        <left style="thin">
          <color rgb="FF000000"/>
        </left>
        <right style="thin">
          <color rgb="FF000000"/>
        </right>
      </border>
    </dxf>
    <dxf>
      <fill>
        <patternFill patternType="solid">
          <bgColor theme="3" tint="0.799890133365886"/>
        </patternFill>
      </fill>
      <alignment horizontal="center" vertical="center"/>
      <border>
        <left style="thin">
          <color rgb="FF000000"/>
        </left>
        <right style="thin">
          <color rgb="FF000000"/>
        </right>
      </border>
    </dxf>
    <dxf>
      <fill>
        <patternFill patternType="solid">
          <bgColor theme="3" tint="0.799890133365886"/>
        </patternFill>
      </fill>
      <alignment horizontal="center" vertical="center"/>
      <border>
        <left style="thin">
          <color rgb="FF000000"/>
        </left>
        <right/>
      </border>
    </dxf>
    <dxf>
      <font>
        <name val="Calibri"/>
        <scheme val="none"/>
        <family val="2"/>
        <b val="1"/>
        <i val="0"/>
        <strike val="0"/>
        <u val="none"/>
        <sz val="11"/>
        <color theme="1"/>
      </font>
      <numFmt numFmtId="4" formatCode="#,##0.00"/>
      <fill>
        <patternFill patternType="solid">
          <bgColor theme="3" tint="0.799890133365886"/>
        </patternFill>
      </fill>
      <alignment horizontal="center" vertical="center" wrapText="1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numFmt numFmtId="177" formatCode="#,##0.00_ "/>
      <fill>
        <patternFill patternType="solid">
          <bgColor theme="3" tint="0.799890133365886"/>
        </patternFill>
      </fill>
      <alignment horizontal="center" vertical="center"/>
      <border>
        <left/>
        <right style="thin">
          <color rgb="FF000000"/>
        </right>
      </border>
    </dxf>
    <dxf>
      <fill>
        <patternFill patternType="solid">
          <bgColor rgb="FFFFFF00"/>
        </patternFill>
      </fill>
      <alignment horizontal="center" vertical="center"/>
      <border>
        <left style="thin">
          <color rgb="FF000000"/>
        </left>
        <right style="thin">
          <color rgb="FF000000"/>
        </right>
      </border>
    </dxf>
    <dxf>
      <font>
        <name val="Calibri"/>
        <scheme val="none"/>
        <family val="2"/>
        <b val="0"/>
        <i val="0"/>
        <strike val="0"/>
        <u val="none"/>
        <sz val="11"/>
        <color theme="1"/>
      </font>
      <numFmt numFmtId="4" formatCode="#,##0.00"/>
      <fill>
        <patternFill patternType="solid">
          <bgColor rgb="FFFFFF00"/>
        </patternFill>
      </fill>
      <alignment horizontal="center" vertical="center" wrapText="1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ill>
        <patternFill patternType="solid">
          <bgColor rgb="FFFFFF00"/>
        </patternFill>
      </fill>
      <alignment horizontal="center" vertical="center"/>
      <border>
        <left style="thin">
          <color rgb="FF000000"/>
        </left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id="1" name="SKUTable" displayName="SKUTable" ref="A1:M35" totalsRowShown="0">
  <autoFilter ref="A1:M35"/>
  <tableColumns count="13">
    <tableColumn id="1" name="SKU" dataDxfId="0"/>
    <tableColumn id="2" name="进货价格(元/500g)" dataDxfId="1"/>
    <tableColumn id="11" name="运费(元/500g)" dataDxfId="2"/>
    <tableColumn id="3" name="每份制作重量(g)" dataDxfId="3"/>
    <tableColumn id="10" name="成份说明" dataDxfId="4"/>
    <tableColumn id="4" name="食材成本(元/份)" dataDxfId="5"/>
    <tableColumn id="5" name="打包成本(元/份)" dataDxfId="6"/>
    <tableColumn id="6" name="调味成本(元/份)" dataDxfId="7"/>
    <tableColumn id="12" name="总成本(元/份)" dataDxfId="8"/>
    <tableColumn id="7" name="堂食价(元/份)" dataDxfId="9"/>
    <tableColumn id="8" name="毛利(元/份)" dataDxfId="10"/>
    <tableColumn id="13" name="利润率(%)" dataDxfId="11"/>
    <tableColumn id="9" name="毛利率(%)" dataDxfId="12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ang="16200000" scaled="1"/>
        </a:gradFill>
      </a:fillStyleLst>
      <a:lnStyleLst>
        <a:ln w="9525" cap="flat" cmpd="sng" algn="ctr">
          <a:solidFill>
            <a:schemeClr val="phClr">
              <a:shade val="95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3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/>
  </sheetPr>
  <dimension ref="A1:M39"/>
  <sheetViews>
    <sheetView workbookViewId="0">
      <pane ySplit="1" topLeftCell="A2" activePane="bottomLeft" state="frozen"/>
      <selection/>
      <selection pane="bottomLeft" activeCell="N23" sqref="N23"/>
    </sheetView>
  </sheetViews>
  <sheetFormatPr defaultColWidth="9" defaultRowHeight="16.8"/>
  <cols>
    <col min="1" max="1" width="30.5" style="14" customWidth="1"/>
    <col min="2" max="2" width="14" style="15" customWidth="1"/>
    <col min="3" max="3" width="20.25" style="15" customWidth="1"/>
    <col min="4" max="4" width="23.875" style="16" customWidth="1"/>
    <col min="5" max="5" width="33.5" style="16" customWidth="1"/>
    <col min="6" max="6" width="18.625" style="17" customWidth="1"/>
    <col min="7" max="7" width="19.25" style="17" customWidth="1"/>
    <col min="8" max="8" width="18.625" style="17" customWidth="1"/>
    <col min="9" max="9" width="19.125" style="18" customWidth="1"/>
    <col min="10" max="10" width="18" style="19" customWidth="1"/>
    <col min="11" max="11" width="16.75" style="17" customWidth="1"/>
    <col min="12" max="12" width="17.625" style="17" customWidth="1"/>
    <col min="13" max="13" width="14.75" style="17" customWidth="1"/>
  </cols>
  <sheetData>
    <row r="1" s="13" customFormat="1" ht="29.25" customHeight="1" spans="1:13">
      <c r="A1" s="20" t="s">
        <v>0</v>
      </c>
      <c r="B1" s="21" t="s">
        <v>1</v>
      </c>
      <c r="C1" s="21" t="s">
        <v>2</v>
      </c>
      <c r="D1" s="22" t="s">
        <v>3</v>
      </c>
      <c r="E1" s="22" t="s">
        <v>4</v>
      </c>
      <c r="F1" s="37" t="s">
        <v>5</v>
      </c>
      <c r="G1" s="37" t="s">
        <v>6</v>
      </c>
      <c r="H1" s="37" t="s">
        <v>7</v>
      </c>
      <c r="I1" s="37" t="s">
        <v>8</v>
      </c>
      <c r="J1" s="47" t="s">
        <v>9</v>
      </c>
      <c r="K1" s="37" t="s">
        <v>10</v>
      </c>
      <c r="L1" s="37" t="s">
        <v>11</v>
      </c>
      <c r="M1" s="37" t="s">
        <v>12</v>
      </c>
    </row>
    <row r="2" ht="20.25" customHeight="1" spans="1:13">
      <c r="A2" s="23" t="s">
        <v>13</v>
      </c>
      <c r="B2" s="24">
        <v>11</v>
      </c>
      <c r="C2" s="24">
        <v>0.5</v>
      </c>
      <c r="D2" s="25">
        <v>120</v>
      </c>
      <c r="E2" s="38" t="s">
        <v>14</v>
      </c>
      <c r="F2" s="39">
        <f>(B2+SKUTable[[#This Row],[运费(元/500g)]])*D2/500</f>
        <v>2.76</v>
      </c>
      <c r="G2" s="39">
        <v>0.2</v>
      </c>
      <c r="H2" s="39">
        <v>0.15</v>
      </c>
      <c r="I2" s="48">
        <f>SUM(SKUTable[[#This Row],[食材成本(元/份)]:[调味成本(元/份)]])</f>
        <v>3.11</v>
      </c>
      <c r="J2" s="49">
        <v>6</v>
      </c>
      <c r="K2" s="50">
        <f>J2-(F2+G2+H2)</f>
        <v>2.89</v>
      </c>
      <c r="L2" s="50">
        <f>SKUTable[[#This Row],[毛利(元/份)]]/SKUTable[[#This Row],[总成本(元/份)]]*100</f>
        <v>92.9260450160772</v>
      </c>
      <c r="M2" s="50">
        <f>(J2-(F2+G2+H2))/J2*100</f>
        <v>48.1666666666667</v>
      </c>
    </row>
    <row r="3" ht="20.25" customHeight="1" spans="1:13">
      <c r="A3" s="23" t="s">
        <v>15</v>
      </c>
      <c r="B3" s="24"/>
      <c r="C3" s="24"/>
      <c r="D3" s="25">
        <v>220</v>
      </c>
      <c r="E3" s="38" t="s">
        <v>16</v>
      </c>
      <c r="F3" s="39">
        <v>2.45</v>
      </c>
      <c r="G3" s="39">
        <v>0.2</v>
      </c>
      <c r="H3" s="39">
        <v>0.15</v>
      </c>
      <c r="I3" s="48">
        <f>SUM(SKUTable[[#This Row],[食材成本(元/份)]:[调味成本(元/份)]])</f>
        <v>2.8</v>
      </c>
      <c r="J3" s="49">
        <v>6</v>
      </c>
      <c r="K3" s="50">
        <f>J3-(F3+G3+H3)</f>
        <v>3.2</v>
      </c>
      <c r="L3" s="50">
        <f>SKUTable[[#This Row],[毛利(元/份)]]/SKUTable[[#This Row],[总成本(元/份)]]*100</f>
        <v>114.285714285714</v>
      </c>
      <c r="M3" s="50">
        <f>(J3-(F3+G3+H3))/J3*100</f>
        <v>53.3333333333333</v>
      </c>
    </row>
    <row r="4" ht="20.25" customHeight="1" spans="1:13">
      <c r="A4" s="23" t="s">
        <v>17</v>
      </c>
      <c r="B4" s="24">
        <v>8.8</v>
      </c>
      <c r="C4" s="24">
        <v>0</v>
      </c>
      <c r="D4" s="25">
        <v>70</v>
      </c>
      <c r="E4" s="38" t="s">
        <v>18</v>
      </c>
      <c r="F4" s="39">
        <f>(B4+SKUTable[[#This Row],[运费(元/500g)]])*D4/500</f>
        <v>1.232</v>
      </c>
      <c r="G4" s="39">
        <v>0.05</v>
      </c>
      <c r="H4" s="39">
        <v>0</v>
      </c>
      <c r="I4" s="48">
        <f>SUM(SKUTable[[#This Row],[食材成本(元/份)]:[调味成本(元/份)]])</f>
        <v>1.282</v>
      </c>
      <c r="J4" s="49">
        <v>4</v>
      </c>
      <c r="K4" s="50">
        <f t="shared" ref="K4:K35" si="0">J4-(F4+G4+H4)</f>
        <v>2.718</v>
      </c>
      <c r="L4" s="50">
        <f>SKUTable[[#This Row],[毛利(元/份)]]/SKUTable[[#This Row],[总成本(元/份)]]*100</f>
        <v>212.01248049922</v>
      </c>
      <c r="M4" s="50">
        <f t="shared" ref="M4:M35" si="1">(J4-(F4+G4+H4))/J4*100</f>
        <v>67.95</v>
      </c>
    </row>
    <row r="5" ht="20.25" customHeight="1" spans="1:13">
      <c r="A5" s="23" t="s">
        <v>19</v>
      </c>
      <c r="B5" s="24" t="s">
        <v>20</v>
      </c>
      <c r="C5" s="24" t="s">
        <v>20</v>
      </c>
      <c r="D5" s="24" t="s">
        <v>20</v>
      </c>
      <c r="E5" s="38" t="s">
        <v>21</v>
      </c>
      <c r="F5" s="39">
        <v>1.3</v>
      </c>
      <c r="G5" s="39">
        <v>0.05</v>
      </c>
      <c r="H5" s="39">
        <v>0</v>
      </c>
      <c r="I5" s="48">
        <f>SUM(SKUTable[[#This Row],[食材成本(元/份)]:[调味成本(元/份)]])</f>
        <v>1.35</v>
      </c>
      <c r="J5" s="49">
        <v>3</v>
      </c>
      <c r="K5" s="50">
        <f t="shared" si="0"/>
        <v>1.65</v>
      </c>
      <c r="L5" s="50">
        <f>SKUTable[[#This Row],[毛利(元/份)]]/SKUTable[[#This Row],[总成本(元/份)]]*100</f>
        <v>122.222222222222</v>
      </c>
      <c r="M5" s="50">
        <f t="shared" si="1"/>
        <v>55</v>
      </c>
    </row>
    <row r="6" ht="20.25" customHeight="1" spans="1:13">
      <c r="A6" s="23" t="s">
        <v>22</v>
      </c>
      <c r="B6" s="24" t="s">
        <v>20</v>
      </c>
      <c r="C6" s="24" t="s">
        <v>20</v>
      </c>
      <c r="D6" s="24" t="s">
        <v>20</v>
      </c>
      <c r="E6" s="38" t="s">
        <v>23</v>
      </c>
      <c r="F6" s="39">
        <v>2.8</v>
      </c>
      <c r="G6" s="39">
        <v>0.05</v>
      </c>
      <c r="H6" s="39">
        <v>0</v>
      </c>
      <c r="I6" s="48">
        <f>SUM(SKUTable[[#This Row],[食材成本(元/份)]:[调味成本(元/份)]])</f>
        <v>2.85</v>
      </c>
      <c r="J6" s="49">
        <v>6</v>
      </c>
      <c r="K6" s="50">
        <f t="shared" si="0"/>
        <v>3.15</v>
      </c>
      <c r="L6" s="50">
        <f>SKUTable[[#This Row],[毛利(元/份)]]/SKUTable[[#This Row],[总成本(元/份)]]*100</f>
        <v>110.526315789474</v>
      </c>
      <c r="M6" s="50">
        <f t="shared" si="1"/>
        <v>52.5</v>
      </c>
    </row>
    <row r="7" ht="20.25" customHeight="1" spans="1:13">
      <c r="A7" s="26" t="s">
        <v>24</v>
      </c>
      <c r="B7" s="24" t="s">
        <v>20</v>
      </c>
      <c r="C7" s="24" t="s">
        <v>20</v>
      </c>
      <c r="D7" s="24" t="s">
        <v>20</v>
      </c>
      <c r="E7" s="38" t="s">
        <v>25</v>
      </c>
      <c r="F7" s="40">
        <v>3.24</v>
      </c>
      <c r="G7" s="40">
        <v>0.2</v>
      </c>
      <c r="H7" s="40">
        <v>0</v>
      </c>
      <c r="I7" s="51">
        <f>SUM(SKUTable[[#This Row],[食材成本(元/份)]:[调味成本(元/份)]])</f>
        <v>3.44</v>
      </c>
      <c r="J7" s="40">
        <v>8</v>
      </c>
      <c r="K7" s="52">
        <f t="shared" si="0"/>
        <v>4.56</v>
      </c>
      <c r="L7" s="52">
        <f>SKUTable[[#This Row],[毛利(元/份)]]/SKUTable[[#This Row],[总成本(元/份)]]*100</f>
        <v>132.558139534884</v>
      </c>
      <c r="M7" s="52">
        <f t="shared" si="1"/>
        <v>57</v>
      </c>
    </row>
    <row r="8" ht="20.25" customHeight="1" spans="1:13">
      <c r="A8" s="26" t="s">
        <v>26</v>
      </c>
      <c r="B8" s="24" t="s">
        <v>20</v>
      </c>
      <c r="C8" s="24" t="s">
        <v>20</v>
      </c>
      <c r="D8" s="24" t="s">
        <v>20</v>
      </c>
      <c r="E8" s="38" t="s">
        <v>27</v>
      </c>
      <c r="F8" s="40">
        <v>0.4</v>
      </c>
      <c r="G8" s="40">
        <v>0</v>
      </c>
      <c r="H8" s="40">
        <v>0</v>
      </c>
      <c r="I8" s="51">
        <f>SUM(SKUTable[[#This Row],[食材成本(元/份)]:[调味成本(元/份)]])</f>
        <v>0.4</v>
      </c>
      <c r="J8" s="40">
        <v>1.25</v>
      </c>
      <c r="K8" s="52">
        <f t="shared" si="0"/>
        <v>0.85</v>
      </c>
      <c r="L8" s="52">
        <f>SKUTable[[#This Row],[毛利(元/份)]]/SKUTable[[#This Row],[总成本(元/份)]]*100</f>
        <v>212.5</v>
      </c>
      <c r="M8" s="52">
        <f t="shared" si="1"/>
        <v>68</v>
      </c>
    </row>
    <row r="9" ht="20.25" customHeight="1" spans="1:13">
      <c r="A9" s="23" t="s">
        <v>28</v>
      </c>
      <c r="B9" s="24" t="s">
        <v>20</v>
      </c>
      <c r="C9" s="24" t="s">
        <v>20</v>
      </c>
      <c r="D9" s="24" t="s">
        <v>20</v>
      </c>
      <c r="E9" s="38" t="s">
        <v>29</v>
      </c>
      <c r="F9" s="40">
        <v>0.45</v>
      </c>
      <c r="G9" s="40">
        <v>0</v>
      </c>
      <c r="H9" s="40">
        <v>0</v>
      </c>
      <c r="I9" s="51">
        <f>SUM(SKUTable[[#This Row],[食材成本(元/份)]:[调味成本(元/份)]])</f>
        <v>0.45</v>
      </c>
      <c r="J9" s="40">
        <v>1.25</v>
      </c>
      <c r="K9" s="52">
        <f t="shared" si="0"/>
        <v>0.8</v>
      </c>
      <c r="L9" s="52">
        <f>SKUTable[[#This Row],[毛利(元/份)]]/SKUTable[[#This Row],[总成本(元/份)]]*100</f>
        <v>177.777777777778</v>
      </c>
      <c r="M9" s="52">
        <f t="shared" si="1"/>
        <v>64</v>
      </c>
    </row>
    <row r="10" ht="20.25" customHeight="1" spans="1:13">
      <c r="A10" s="23" t="s">
        <v>30</v>
      </c>
      <c r="B10" s="24" t="s">
        <v>20</v>
      </c>
      <c r="C10" s="24" t="s">
        <v>20</v>
      </c>
      <c r="D10" s="24" t="s">
        <v>20</v>
      </c>
      <c r="E10" s="38" t="s">
        <v>30</v>
      </c>
      <c r="F10" s="40">
        <v>1.37</v>
      </c>
      <c r="G10" s="40">
        <v>0</v>
      </c>
      <c r="H10" s="40">
        <v>0</v>
      </c>
      <c r="I10" s="51">
        <f>SUM(SKUTable[[#This Row],[食材成本(元/份)]:[调味成本(元/份)]])</f>
        <v>1.37</v>
      </c>
      <c r="J10" s="40">
        <v>2.5</v>
      </c>
      <c r="K10" s="52">
        <f t="shared" si="0"/>
        <v>1.13</v>
      </c>
      <c r="L10" s="52">
        <f>SKUTable[[#This Row],[毛利(元/份)]]/SKUTable[[#This Row],[总成本(元/份)]]*100</f>
        <v>82.4817518248175</v>
      </c>
      <c r="M10" s="52">
        <f t="shared" si="1"/>
        <v>45.2</v>
      </c>
    </row>
    <row r="11" ht="20.25" customHeight="1" spans="1:13">
      <c r="A11" s="23" t="s">
        <v>31</v>
      </c>
      <c r="B11" s="24" t="s">
        <v>20</v>
      </c>
      <c r="C11" s="24" t="s">
        <v>20</v>
      </c>
      <c r="D11" s="24" t="s">
        <v>20</v>
      </c>
      <c r="E11" s="38" t="s">
        <v>31</v>
      </c>
      <c r="F11" s="40">
        <v>1.37</v>
      </c>
      <c r="G11" s="40">
        <v>0</v>
      </c>
      <c r="H11" s="40">
        <v>0</v>
      </c>
      <c r="I11" s="51">
        <f>SUM(SKUTable[[#This Row],[食材成本(元/份)]:[调味成本(元/份)]])</f>
        <v>1.37</v>
      </c>
      <c r="J11" s="40">
        <v>2.5</v>
      </c>
      <c r="K11" s="52">
        <f t="shared" si="0"/>
        <v>1.13</v>
      </c>
      <c r="L11" s="52">
        <f>SKUTable[[#This Row],[毛利(元/份)]]/SKUTable[[#This Row],[总成本(元/份)]]*100</f>
        <v>82.4817518248175</v>
      </c>
      <c r="M11" s="52">
        <f t="shared" si="1"/>
        <v>45.2</v>
      </c>
    </row>
    <row r="12" ht="20.25" customHeight="1" spans="1:13">
      <c r="A12" s="23" t="s">
        <v>32</v>
      </c>
      <c r="B12" s="24">
        <v>8</v>
      </c>
      <c r="C12" s="24">
        <v>0.5</v>
      </c>
      <c r="D12" s="25">
        <v>165</v>
      </c>
      <c r="E12" s="38" t="s">
        <v>33</v>
      </c>
      <c r="F12" s="40">
        <f>(B12+SKUTable[[#This Row],[运费(元/500g)]])*D12/500</f>
        <v>2.805</v>
      </c>
      <c r="G12" s="40">
        <v>0.685</v>
      </c>
      <c r="H12" s="40">
        <v>0.2</v>
      </c>
      <c r="I12" s="51">
        <f>SUM(SKUTable[[#This Row],[食材成本(元/份)]:[调味成本(元/份)]])</f>
        <v>3.69</v>
      </c>
      <c r="J12" s="40">
        <v>12</v>
      </c>
      <c r="K12" s="52">
        <f t="shared" si="0"/>
        <v>8.31</v>
      </c>
      <c r="L12" s="52">
        <f>SKUTable[[#This Row],[毛利(元/份)]]/SKUTable[[#This Row],[总成本(元/份)]]*100</f>
        <v>225.20325203252</v>
      </c>
      <c r="M12" s="52">
        <f t="shared" si="1"/>
        <v>69.25</v>
      </c>
    </row>
    <row r="13" ht="20.25" customHeight="1" spans="1:13">
      <c r="A13" s="23" t="s">
        <v>34</v>
      </c>
      <c r="B13" s="24">
        <v>8</v>
      </c>
      <c r="C13" s="24">
        <v>0.5</v>
      </c>
      <c r="D13" s="25">
        <v>260</v>
      </c>
      <c r="E13" s="38" t="s">
        <v>33</v>
      </c>
      <c r="F13" s="40">
        <f>(B13+SKUTable[[#This Row],[运费(元/500g)]])*D13/500</f>
        <v>4.42</v>
      </c>
      <c r="G13" s="40">
        <v>0.82</v>
      </c>
      <c r="H13" s="40">
        <v>0.2</v>
      </c>
      <c r="I13" s="51">
        <f>SUM(SKUTable[[#This Row],[食材成本(元/份)]:[调味成本(元/份)]])</f>
        <v>5.44</v>
      </c>
      <c r="J13" s="40">
        <v>16</v>
      </c>
      <c r="K13" s="52">
        <f t="shared" si="0"/>
        <v>10.56</v>
      </c>
      <c r="L13" s="52">
        <f>SKUTable[[#This Row],[毛利(元/份)]]/SKUTable[[#This Row],[总成本(元/份)]]*100</f>
        <v>194.117647058823</v>
      </c>
      <c r="M13" s="52">
        <f t="shared" si="1"/>
        <v>66</v>
      </c>
    </row>
    <row r="14" ht="18.75" customHeight="1" spans="1:13">
      <c r="A14" s="23" t="s">
        <v>35</v>
      </c>
      <c r="B14" s="24">
        <v>10</v>
      </c>
      <c r="C14" s="24">
        <v>0.5</v>
      </c>
      <c r="D14" s="25">
        <v>165</v>
      </c>
      <c r="E14" s="38" t="s">
        <v>36</v>
      </c>
      <c r="F14" s="40">
        <f>IF(B14&lt;&gt;"",B14*D14/500,"")</f>
        <v>3.3</v>
      </c>
      <c r="G14" s="40">
        <v>0.685</v>
      </c>
      <c r="H14" s="40">
        <v>0.2</v>
      </c>
      <c r="I14" s="51">
        <f>SUM(SKUTable[[#This Row],[食材成本(元/份)]:[调味成本(元/份)]])</f>
        <v>4.185</v>
      </c>
      <c r="J14" s="40">
        <v>14</v>
      </c>
      <c r="K14" s="52">
        <f t="shared" si="0"/>
        <v>9.815</v>
      </c>
      <c r="L14" s="52">
        <f>SKUTable[[#This Row],[毛利(元/份)]]/SKUTable[[#This Row],[总成本(元/份)]]*100</f>
        <v>234.52807646356</v>
      </c>
      <c r="M14" s="52">
        <f t="shared" si="1"/>
        <v>70.1071428571429</v>
      </c>
    </row>
    <row r="15" ht="18.75" customHeight="1" spans="1:13">
      <c r="A15" s="23" t="s">
        <v>37</v>
      </c>
      <c r="B15" s="24">
        <v>10</v>
      </c>
      <c r="C15" s="24">
        <v>0.5</v>
      </c>
      <c r="D15" s="25">
        <v>260</v>
      </c>
      <c r="E15" s="38" t="s">
        <v>36</v>
      </c>
      <c r="F15" s="40">
        <f>IF(B15&lt;&gt;"",B15*D15/500,"")</f>
        <v>5.2</v>
      </c>
      <c r="G15" s="40">
        <v>0.82</v>
      </c>
      <c r="H15" s="40">
        <v>0.2</v>
      </c>
      <c r="I15" s="51">
        <f>SUM(SKUTable[[#This Row],[食材成本(元/份)]:[调味成本(元/份)]])</f>
        <v>6.22</v>
      </c>
      <c r="J15" s="40">
        <v>18</v>
      </c>
      <c r="K15" s="52">
        <f t="shared" si="0"/>
        <v>11.78</v>
      </c>
      <c r="L15" s="52">
        <f>SKUTable[[#This Row],[毛利(元/份)]]/SKUTable[[#This Row],[总成本(元/份)]]*100</f>
        <v>189.389067524116</v>
      </c>
      <c r="M15" s="52">
        <f t="shared" si="1"/>
        <v>65.4444444444444</v>
      </c>
    </row>
    <row r="16" ht="18.75" customHeight="1" spans="1:13">
      <c r="A16" s="26" t="s">
        <v>38</v>
      </c>
      <c r="B16" s="24">
        <v>17</v>
      </c>
      <c r="C16" s="24">
        <v>0.5</v>
      </c>
      <c r="D16" s="25">
        <v>135</v>
      </c>
      <c r="E16" s="38" t="s">
        <v>39</v>
      </c>
      <c r="F16" s="40">
        <f t="shared" ref="F16" si="2">IF(B16&lt;&gt;"",B16*D16/500,"")</f>
        <v>4.59</v>
      </c>
      <c r="G16" s="40">
        <v>0.685</v>
      </c>
      <c r="H16" s="40">
        <v>0.2</v>
      </c>
      <c r="I16" s="51">
        <f>SUM(SKUTable[[#This Row],[食材成本(元/份)]:[调味成本(元/份)]])</f>
        <v>5.475</v>
      </c>
      <c r="J16" s="40"/>
      <c r="K16" s="52">
        <f t="shared" ref="K16" si="3">J16-(F16+G16+H16)</f>
        <v>-5.475</v>
      </c>
      <c r="L16" s="52">
        <f>SKUTable[[#This Row],[毛利(元/份)]]/SKUTable[[#This Row],[总成本(元/份)]]*100</f>
        <v>-100</v>
      </c>
      <c r="M16" s="52" t="e">
        <f t="shared" ref="M16" si="4">(J16-(F16+G16+H16))/J16*100</f>
        <v>#DIV/0!</v>
      </c>
    </row>
    <row r="17" ht="18.75" customHeight="1" spans="1:13">
      <c r="A17" s="26" t="s">
        <v>40</v>
      </c>
      <c r="B17" s="24">
        <v>17</v>
      </c>
      <c r="C17" s="24">
        <v>0.5</v>
      </c>
      <c r="D17" s="25">
        <v>165</v>
      </c>
      <c r="E17" s="38" t="s">
        <v>39</v>
      </c>
      <c r="F17" s="40">
        <f t="shared" ref="F17:F34" si="5">IF(B17&lt;&gt;"",B17*D17/500,"")</f>
        <v>5.61</v>
      </c>
      <c r="G17" s="40">
        <v>0.685</v>
      </c>
      <c r="H17" s="40">
        <v>0.2</v>
      </c>
      <c r="I17" s="51">
        <f>SUM(SKUTable[[#This Row],[食材成本(元/份)]:[调味成本(元/份)]])</f>
        <v>6.495</v>
      </c>
      <c r="J17" s="40">
        <v>15</v>
      </c>
      <c r="K17" s="52">
        <f t="shared" si="0"/>
        <v>8.505</v>
      </c>
      <c r="L17" s="52">
        <f>SKUTable[[#This Row],[毛利(元/份)]]/SKUTable[[#This Row],[总成本(元/份)]]*100</f>
        <v>130.94688221709</v>
      </c>
      <c r="M17" s="52">
        <f t="shared" si="1"/>
        <v>56.7</v>
      </c>
    </row>
    <row r="18" ht="18.75" customHeight="1" spans="1:13">
      <c r="A18" s="26" t="s">
        <v>41</v>
      </c>
      <c r="B18" s="24">
        <v>17</v>
      </c>
      <c r="C18" s="24">
        <v>0.5</v>
      </c>
      <c r="D18" s="25">
        <v>260</v>
      </c>
      <c r="E18" s="38" t="s">
        <v>39</v>
      </c>
      <c r="F18" s="40">
        <f t="shared" si="5"/>
        <v>8.84</v>
      </c>
      <c r="G18" s="40">
        <v>0.82</v>
      </c>
      <c r="H18" s="40">
        <v>0.2</v>
      </c>
      <c r="I18" s="51">
        <f>SUM(SKUTable[[#This Row],[食材成本(元/份)]:[调味成本(元/份)]])</f>
        <v>9.86</v>
      </c>
      <c r="J18" s="40">
        <v>20</v>
      </c>
      <c r="K18" s="52">
        <f t="shared" si="0"/>
        <v>10.14</v>
      </c>
      <c r="L18" s="52">
        <f>SKUTable[[#This Row],[毛利(元/份)]]/SKUTable[[#This Row],[总成本(元/份)]]*100</f>
        <v>102.839756592292</v>
      </c>
      <c r="M18" s="52">
        <f t="shared" si="1"/>
        <v>50.7</v>
      </c>
    </row>
    <row r="19" ht="18.75" customHeight="1" spans="1:13">
      <c r="A19" s="27" t="s">
        <v>42</v>
      </c>
      <c r="B19" s="28">
        <v>18</v>
      </c>
      <c r="C19" s="28">
        <v>0.5</v>
      </c>
      <c r="D19" s="29">
        <v>100</v>
      </c>
      <c r="E19" s="41" t="s">
        <v>43</v>
      </c>
      <c r="F19" s="42">
        <f t="shared" si="5"/>
        <v>3.6</v>
      </c>
      <c r="G19" s="42">
        <v>0.685</v>
      </c>
      <c r="H19" s="42">
        <v>0.2</v>
      </c>
      <c r="I19" s="53">
        <f>SUM(SKUTable[[#This Row],[食材成本(元/份)]:[调味成本(元/份)]])</f>
        <v>4.485</v>
      </c>
      <c r="J19" s="42">
        <v>10</v>
      </c>
      <c r="K19" s="54">
        <f t="shared" si="0"/>
        <v>5.515</v>
      </c>
      <c r="L19" s="54">
        <f>SKUTable[[#This Row],[毛利(元/份)]]/SKUTable[[#This Row],[总成本(元/份)]]*100</f>
        <v>122.965440356745</v>
      </c>
      <c r="M19" s="54">
        <f t="shared" si="1"/>
        <v>55.15</v>
      </c>
    </row>
    <row r="20" ht="18.75" customHeight="1" spans="1:13">
      <c r="A20" s="27" t="s">
        <v>44</v>
      </c>
      <c r="B20" s="24">
        <v>18</v>
      </c>
      <c r="C20" s="24">
        <v>0.5</v>
      </c>
      <c r="D20" s="25">
        <v>135</v>
      </c>
      <c r="E20" s="38" t="s">
        <v>43</v>
      </c>
      <c r="F20" s="40">
        <f t="shared" ref="F20" si="6">IF(B20&lt;&gt;"",B20*D20/500,"")</f>
        <v>4.86</v>
      </c>
      <c r="G20" s="40">
        <v>0.685</v>
      </c>
      <c r="H20" s="40">
        <v>0.2</v>
      </c>
      <c r="I20" s="51">
        <f>SUM(SKUTable[[#This Row],[食材成本(元/份)]:[调味成本(元/份)]])</f>
        <v>5.745</v>
      </c>
      <c r="J20" s="40">
        <v>15</v>
      </c>
      <c r="K20" s="52">
        <f t="shared" ref="K20" si="7">J20-(F20+G20+H20)</f>
        <v>9.255</v>
      </c>
      <c r="L20" s="52">
        <f>SKUTable[[#This Row],[毛利(元/份)]]/SKUTable[[#This Row],[总成本(元/份)]]*100</f>
        <v>161.096605744125</v>
      </c>
      <c r="M20" s="52">
        <f t="shared" ref="M20" si="8">(J20-(F20+G20+H20))/J20*100</f>
        <v>61.7</v>
      </c>
    </row>
    <row r="21" ht="18.75" customHeight="1" spans="1:13">
      <c r="A21" s="26" t="s">
        <v>45</v>
      </c>
      <c r="B21" s="24">
        <v>19</v>
      </c>
      <c r="C21" s="24">
        <v>0.5</v>
      </c>
      <c r="D21" s="25" t="s">
        <v>20</v>
      </c>
      <c r="E21" s="38" t="s">
        <v>45</v>
      </c>
      <c r="F21" s="40"/>
      <c r="G21" s="40"/>
      <c r="H21" s="40"/>
      <c r="I21" s="51"/>
      <c r="J21" s="40"/>
      <c r="K21" s="52"/>
      <c r="L21" s="52"/>
      <c r="M21" s="52"/>
    </row>
    <row r="22" ht="18.75" customHeight="1" spans="1:13">
      <c r="A22" s="26" t="s">
        <v>46</v>
      </c>
      <c r="B22" s="24">
        <v>19</v>
      </c>
      <c r="C22" s="24">
        <v>0.5</v>
      </c>
      <c r="D22" s="25">
        <v>90</v>
      </c>
      <c r="E22" s="38" t="s">
        <v>47</v>
      </c>
      <c r="F22" s="40">
        <f t="shared" si="5"/>
        <v>3.42</v>
      </c>
      <c r="G22" s="40"/>
      <c r="H22" s="40">
        <v>2.5</v>
      </c>
      <c r="I22" s="51">
        <f>SUM(SKUTable[[#This Row],[食材成本(元/份)]:[调味成本(元/份)]])</f>
        <v>5.92</v>
      </c>
      <c r="J22" s="40">
        <v>13</v>
      </c>
      <c r="K22" s="52">
        <f t="shared" si="0"/>
        <v>7.08</v>
      </c>
      <c r="L22" s="52">
        <f>SKUTable[[#This Row],[毛利(元/份)]]/SKUTable[[#This Row],[总成本(元/份)]]*100</f>
        <v>119.594594594595</v>
      </c>
      <c r="M22" s="52">
        <f t="shared" si="1"/>
        <v>54.4615384615385</v>
      </c>
    </row>
    <row r="23" ht="18.75" customHeight="1" spans="1:13">
      <c r="A23" s="26" t="s">
        <v>48</v>
      </c>
      <c r="B23" s="24">
        <v>19</v>
      </c>
      <c r="C23" s="24">
        <v>0.5</v>
      </c>
      <c r="D23" s="25">
        <v>70</v>
      </c>
      <c r="E23" s="38" t="s">
        <v>47</v>
      </c>
      <c r="F23" s="40">
        <f t="shared" si="5"/>
        <v>2.66</v>
      </c>
      <c r="G23" s="40"/>
      <c r="H23" s="40">
        <v>2.5</v>
      </c>
      <c r="I23" s="51">
        <f>SUM(SKUTable[[#This Row],[食材成本(元/份)]:[调味成本(元/份)]])</f>
        <v>5.16</v>
      </c>
      <c r="J23" s="40">
        <v>13</v>
      </c>
      <c r="K23" s="52">
        <f t="shared" si="0"/>
        <v>7.84</v>
      </c>
      <c r="L23" s="52">
        <f>SKUTable[[#This Row],[毛利(元/份)]]/SKUTable[[#This Row],[总成本(元/份)]]*100</f>
        <v>151.937984496124</v>
      </c>
      <c r="M23" s="52">
        <f t="shared" si="1"/>
        <v>60.3076923076923</v>
      </c>
    </row>
    <row r="24" ht="18.75" customHeight="1" spans="1:13">
      <c r="A24" s="27" t="s">
        <v>49</v>
      </c>
      <c r="B24" s="24">
        <v>8</v>
      </c>
      <c r="C24" s="24">
        <v>0.5</v>
      </c>
      <c r="D24" s="25">
        <v>165</v>
      </c>
      <c r="E24" s="38" t="s">
        <v>33</v>
      </c>
      <c r="F24" s="40">
        <f t="shared" si="5"/>
        <v>2.64</v>
      </c>
      <c r="G24" s="40">
        <v>0.82</v>
      </c>
      <c r="H24" s="42">
        <v>0.5</v>
      </c>
      <c r="I24" s="53">
        <f>SUM(SKUTable[[#This Row],[食材成本(元/份)]:[调味成本(元/份)]])</f>
        <v>3.96</v>
      </c>
      <c r="J24" s="40">
        <v>15</v>
      </c>
      <c r="K24" s="52">
        <f t="shared" si="0"/>
        <v>11.04</v>
      </c>
      <c r="L24" s="52">
        <f>SKUTable[[#This Row],[毛利(元/份)]]/SKUTable[[#This Row],[总成本(元/份)]]*100</f>
        <v>278.787878787879</v>
      </c>
      <c r="M24" s="52">
        <f t="shared" si="1"/>
        <v>73.6</v>
      </c>
    </row>
    <row r="25" ht="18.75" customHeight="1" spans="1:13">
      <c r="A25" s="30" t="s">
        <v>50</v>
      </c>
      <c r="B25" s="31">
        <v>9.09</v>
      </c>
      <c r="C25" s="31">
        <v>0.5</v>
      </c>
      <c r="D25" s="32">
        <v>165</v>
      </c>
      <c r="E25" s="32" t="s">
        <v>51</v>
      </c>
      <c r="F25" s="43">
        <f t="shared" si="5"/>
        <v>2.9997</v>
      </c>
      <c r="G25" s="43">
        <v>0.685</v>
      </c>
      <c r="H25" s="44">
        <v>1.5</v>
      </c>
      <c r="I25" s="55">
        <f>SUM(SKUTable[[#This Row],[食材成本(元/份)]:[调味成本(元/份)]])</f>
        <v>5.1847</v>
      </c>
      <c r="J25" s="43">
        <v>14</v>
      </c>
      <c r="K25" s="56">
        <f t="shared" si="0"/>
        <v>8.8153</v>
      </c>
      <c r="L25" s="56">
        <f>SKUTable[[#This Row],[毛利(元/份)]]/SKUTable[[#This Row],[总成本(元/份)]]*100</f>
        <v>170.025266649951</v>
      </c>
      <c r="M25" s="56">
        <f t="shared" si="1"/>
        <v>62.9664285714286</v>
      </c>
    </row>
    <row r="26" ht="18.75" customHeight="1" spans="1:13">
      <c r="A26" s="30" t="s">
        <v>52</v>
      </c>
      <c r="B26" s="31">
        <v>9.09</v>
      </c>
      <c r="C26" s="31">
        <v>0.5</v>
      </c>
      <c r="D26" s="32">
        <v>260</v>
      </c>
      <c r="E26" s="32" t="s">
        <v>51</v>
      </c>
      <c r="F26" s="43">
        <f t="shared" si="5"/>
        <v>4.7268</v>
      </c>
      <c r="G26" s="43">
        <v>0.82</v>
      </c>
      <c r="H26" s="44">
        <v>1.5</v>
      </c>
      <c r="I26" s="55">
        <f>SUM(SKUTable[[#This Row],[食材成本(元/份)]:[调味成本(元/份)]])</f>
        <v>7.0468</v>
      </c>
      <c r="J26" s="43">
        <v>18</v>
      </c>
      <c r="K26" s="56">
        <f t="shared" si="0"/>
        <v>10.9532</v>
      </c>
      <c r="L26" s="56">
        <f>SKUTable[[#This Row],[毛利(元/份)]]/SKUTable[[#This Row],[总成本(元/份)]]*100</f>
        <v>155.435091105182</v>
      </c>
      <c r="M26" s="56">
        <f t="shared" si="1"/>
        <v>60.8511111111111</v>
      </c>
    </row>
    <row r="27" ht="18.75" customHeight="1" spans="1:13">
      <c r="A27" s="23" t="s">
        <v>53</v>
      </c>
      <c r="B27" s="24">
        <v>11.75</v>
      </c>
      <c r="C27" s="24" t="s">
        <v>20</v>
      </c>
      <c r="D27" s="25">
        <v>35</v>
      </c>
      <c r="E27" s="25"/>
      <c r="F27" s="40">
        <f t="shared" si="5"/>
        <v>0.8225</v>
      </c>
      <c r="G27" s="40" t="s">
        <v>20</v>
      </c>
      <c r="H27" s="42" t="s">
        <v>20</v>
      </c>
      <c r="I27" s="53">
        <f>SUM(SKUTable[[#This Row],[食材成本(元/份)]:[调味成本(元/份)]])</f>
        <v>0.8225</v>
      </c>
      <c r="J27" s="40" t="s">
        <v>20</v>
      </c>
      <c r="K27" s="52" t="s">
        <v>20</v>
      </c>
      <c r="L27" s="52"/>
      <c r="M27" s="52" t="s">
        <v>20</v>
      </c>
    </row>
    <row r="28" ht="18.75" customHeight="1" spans="1:13">
      <c r="A28" s="23" t="s">
        <v>54</v>
      </c>
      <c r="B28" s="24">
        <v>8</v>
      </c>
      <c r="C28" s="24">
        <v>0.5</v>
      </c>
      <c r="D28" s="25">
        <v>165</v>
      </c>
      <c r="E28" s="38" t="s">
        <v>55</v>
      </c>
      <c r="F28" s="40">
        <f t="shared" si="5"/>
        <v>2.64</v>
      </c>
      <c r="G28" s="40">
        <v>0.685</v>
      </c>
      <c r="H28" s="42">
        <v>1.2</v>
      </c>
      <c r="I28" s="53">
        <f>SUM(SKUTable[[#This Row],[食材成本(元/份)]:[调味成本(元/份)]])</f>
        <v>4.525</v>
      </c>
      <c r="J28" s="40">
        <v>15</v>
      </c>
      <c r="K28" s="52">
        <f t="shared" si="0"/>
        <v>10.475</v>
      </c>
      <c r="L28" s="52">
        <f>SKUTable[[#This Row],[毛利(元/份)]]/SKUTable[[#This Row],[总成本(元/份)]]*100</f>
        <v>231.491712707182</v>
      </c>
      <c r="M28" s="52">
        <f t="shared" si="1"/>
        <v>69.8333333333333</v>
      </c>
    </row>
    <row r="29" ht="18.75" customHeight="1" spans="1:13">
      <c r="A29" s="30" t="s">
        <v>56</v>
      </c>
      <c r="B29" s="31">
        <v>8</v>
      </c>
      <c r="C29" s="31">
        <v>0.5</v>
      </c>
      <c r="D29" s="32">
        <v>260</v>
      </c>
      <c r="E29" s="32" t="s">
        <v>55</v>
      </c>
      <c r="F29" s="43">
        <f t="shared" si="5"/>
        <v>4.16</v>
      </c>
      <c r="G29" s="43">
        <v>0.82</v>
      </c>
      <c r="H29" s="44">
        <v>1.2</v>
      </c>
      <c r="I29" s="55">
        <f>SUM(SKUTable[[#This Row],[食材成本(元/份)]:[调味成本(元/份)]])</f>
        <v>6.18</v>
      </c>
      <c r="J29" s="43">
        <v>18</v>
      </c>
      <c r="K29" s="56">
        <f t="shared" si="0"/>
        <v>11.82</v>
      </c>
      <c r="L29" s="56">
        <f>SKUTable[[#This Row],[毛利(元/份)]]/SKUTable[[#This Row],[总成本(元/份)]]*100</f>
        <v>191.26213592233</v>
      </c>
      <c r="M29" s="56">
        <f t="shared" si="1"/>
        <v>65.6666666666667</v>
      </c>
    </row>
    <row r="30" ht="18.75" customHeight="1" spans="1:13">
      <c r="A30" s="23" t="s">
        <v>57</v>
      </c>
      <c r="B30" s="24">
        <v>2.875</v>
      </c>
      <c r="C30" s="24" t="s">
        <v>20</v>
      </c>
      <c r="D30" s="29">
        <v>140</v>
      </c>
      <c r="E30" s="38" t="s">
        <v>58</v>
      </c>
      <c r="F30" s="40">
        <f t="shared" si="5"/>
        <v>0.805</v>
      </c>
      <c r="G30" s="40">
        <v>0.82</v>
      </c>
      <c r="H30" s="40">
        <v>4.1</v>
      </c>
      <c r="I30" s="51">
        <f>SUM(SKUTable[[#This Row],[食材成本(元/份)]:[调味成本(元/份)]])</f>
        <v>5.725</v>
      </c>
      <c r="J30" s="40">
        <v>15</v>
      </c>
      <c r="K30" s="52">
        <f t="shared" si="0"/>
        <v>9.275</v>
      </c>
      <c r="L30" s="52">
        <f>SKUTable[[#This Row],[毛利(元/份)]]/SKUTable[[#This Row],[总成本(元/份)]]*100</f>
        <v>162.008733624454</v>
      </c>
      <c r="M30" s="52">
        <f t="shared" si="1"/>
        <v>61.8333333333333</v>
      </c>
    </row>
    <row r="31" ht="18.75" customHeight="1" spans="1:13">
      <c r="A31" s="33" t="s">
        <v>59</v>
      </c>
      <c r="B31" s="24"/>
      <c r="C31" s="24">
        <v>0.5</v>
      </c>
      <c r="D31" s="25"/>
      <c r="E31" s="38" t="s">
        <v>60</v>
      </c>
      <c r="F31" s="40">
        <v>6.11</v>
      </c>
      <c r="G31" s="40">
        <v>0.685</v>
      </c>
      <c r="H31" s="40">
        <v>0.2</v>
      </c>
      <c r="I31" s="51">
        <f>SUM(SKUTable[[#This Row],[食材成本(元/份)]:[调味成本(元/份)]])</f>
        <v>6.995</v>
      </c>
      <c r="J31" s="40">
        <v>20</v>
      </c>
      <c r="K31" s="52">
        <f t="shared" si="0"/>
        <v>13.005</v>
      </c>
      <c r="L31" s="52">
        <f>SKUTable[[#This Row],[毛利(元/份)]]/SKUTable[[#This Row],[总成本(元/份)]]*100</f>
        <v>185.918513223731</v>
      </c>
      <c r="M31" s="52">
        <f t="shared" si="1"/>
        <v>65.025</v>
      </c>
    </row>
    <row r="32" ht="18.75" customHeight="1" spans="1:13">
      <c r="A32" s="34" t="s">
        <v>61</v>
      </c>
      <c r="B32" s="35"/>
      <c r="C32" s="35">
        <v>0.5</v>
      </c>
      <c r="D32" s="36"/>
      <c r="E32" s="45" t="s">
        <v>62</v>
      </c>
      <c r="F32" s="46">
        <v>8.32</v>
      </c>
      <c r="G32" s="46">
        <v>0.685</v>
      </c>
      <c r="H32" s="46">
        <v>0.2</v>
      </c>
      <c r="I32" s="57">
        <f>SUM(SKUTable[[#This Row],[食材成本(元/份)]:[调味成本(元/份)]])</f>
        <v>9.205</v>
      </c>
      <c r="J32" s="46">
        <v>20</v>
      </c>
      <c r="K32" s="58">
        <f t="shared" si="0"/>
        <v>10.795</v>
      </c>
      <c r="L32" s="58">
        <f>SKUTable[[#This Row],[毛利(元/份)]]/SKUTable[[#This Row],[总成本(元/份)]]*100</f>
        <v>117.273221075502</v>
      </c>
      <c r="M32" s="58">
        <f t="shared" si="1"/>
        <v>53.975</v>
      </c>
    </row>
    <row r="33" ht="18.75" customHeight="1" spans="1:13">
      <c r="A33" s="23" t="s">
        <v>63</v>
      </c>
      <c r="B33" s="24"/>
      <c r="C33" s="24">
        <v>0.5</v>
      </c>
      <c r="D33" s="25">
        <v>370</v>
      </c>
      <c r="E33" s="38" t="s">
        <v>64</v>
      </c>
      <c r="F33" s="40">
        <v>6.64</v>
      </c>
      <c r="G33" s="40">
        <v>0.82</v>
      </c>
      <c r="H33" s="40">
        <v>0.2</v>
      </c>
      <c r="I33" s="51">
        <f>SUM(SKUTable[[#This Row],[食材成本(元/份)]:[调味成本(元/份)]])</f>
        <v>7.66</v>
      </c>
      <c r="J33" s="40">
        <v>20</v>
      </c>
      <c r="K33" s="52">
        <f t="shared" si="0"/>
        <v>12.34</v>
      </c>
      <c r="L33" s="52">
        <f>SKUTable[[#This Row],[毛利(元/份)]]/SKUTable[[#This Row],[总成本(元/份)]]*100</f>
        <v>161.096605744125</v>
      </c>
      <c r="M33" s="52">
        <f t="shared" si="1"/>
        <v>61.7</v>
      </c>
    </row>
    <row r="34" ht="18.75" customHeight="1" spans="1:13">
      <c r="A34" s="23" t="s">
        <v>65</v>
      </c>
      <c r="B34" s="28">
        <v>4.5</v>
      </c>
      <c r="C34" s="24">
        <v>0.5</v>
      </c>
      <c r="D34" s="25">
        <v>200</v>
      </c>
      <c r="E34" s="38" t="s">
        <v>66</v>
      </c>
      <c r="F34" s="40">
        <f t="shared" si="5"/>
        <v>1.8</v>
      </c>
      <c r="G34" s="40">
        <v>0.82</v>
      </c>
      <c r="H34" s="40">
        <v>4</v>
      </c>
      <c r="I34" s="51">
        <f>SUM(SKUTable[[#This Row],[食材成本(元/份)]:[调味成本(元/份)]])</f>
        <v>6.62</v>
      </c>
      <c r="J34" s="40">
        <v>15</v>
      </c>
      <c r="K34" s="52">
        <f t="shared" si="0"/>
        <v>8.38</v>
      </c>
      <c r="L34" s="52">
        <f>SKUTable[[#This Row],[毛利(元/份)]]/SKUTable[[#This Row],[总成本(元/份)]]*100</f>
        <v>126.586102719033</v>
      </c>
      <c r="M34" s="52">
        <f t="shared" si="1"/>
        <v>55.8666666666667</v>
      </c>
    </row>
    <row r="35" ht="18.75" customHeight="1" spans="1:13">
      <c r="A35" s="23" t="s">
        <v>67</v>
      </c>
      <c r="B35" s="24"/>
      <c r="C35" s="24">
        <v>0.5</v>
      </c>
      <c r="D35" s="25">
        <v>185</v>
      </c>
      <c r="E35" s="38" t="s">
        <v>68</v>
      </c>
      <c r="F35" s="40">
        <v>2.5</v>
      </c>
      <c r="G35" s="40">
        <v>0.685</v>
      </c>
      <c r="H35" s="40">
        <v>1.4</v>
      </c>
      <c r="I35" s="51">
        <f>SUM(SKUTable[[#This Row],[食材成本(元/份)]:[调味成本(元/份)]])</f>
        <v>4.585</v>
      </c>
      <c r="J35" s="40">
        <v>13</v>
      </c>
      <c r="K35" s="52">
        <f t="shared" si="0"/>
        <v>8.415</v>
      </c>
      <c r="L35" s="52">
        <f>SKUTable[[#This Row],[毛利(元/份)]]/SKUTable[[#This Row],[总成本(元/份)]]*100</f>
        <v>183.533260632497</v>
      </c>
      <c r="M35" s="52">
        <f t="shared" si="1"/>
        <v>64.7307692307692</v>
      </c>
    </row>
    <row r="39" spans="5:5">
      <c r="E39" s="19"/>
    </row>
  </sheetData>
  <conditionalFormatting sqref="M$1:M$1048576">
    <cfRule type="dataBar" priority="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{008d5a4e-574f-4d16-8b20-aa558f1c1cd7}</x14:id>
        </ext>
      </extLst>
    </cfRule>
  </conditionalFormatting>
  <pageMargins left="0.7" right="0.7" top="0.75" bottom="0.75" header="0.3" footer="0.3"/>
  <pageSetup paperSize="9" orientation="portrait"/>
  <headerFooter/>
  <tableParts count="1">
    <tablePart r:id="rId1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008d5a4e-574f-4d16-8b20-aa558f1c1cd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M$1:M$1048576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1"/>
  <sheetViews>
    <sheetView tabSelected="1" workbookViewId="0">
      <selection activeCell="C23" sqref="C23"/>
    </sheetView>
  </sheetViews>
  <sheetFormatPr defaultColWidth="30.75" defaultRowHeight="20.1" customHeight="1" outlineLevelCol="3"/>
  <cols>
    <col min="1" max="1" width="36.25" customWidth="1"/>
    <col min="2" max="2" width="30.75" customWidth="1"/>
  </cols>
  <sheetData>
    <row r="1" customHeight="1" spans="1:4">
      <c r="A1" s="1" t="s">
        <v>69</v>
      </c>
      <c r="B1" s="2" t="s">
        <v>70</v>
      </c>
      <c r="C1" s="2" t="s">
        <v>71</v>
      </c>
      <c r="D1" s="2" t="s">
        <v>72</v>
      </c>
    </row>
    <row r="2" customHeight="1" spans="1:4">
      <c r="A2" s="3" t="s">
        <v>73</v>
      </c>
      <c r="B2" s="4" t="s">
        <v>74</v>
      </c>
      <c r="C2" s="5" t="s">
        <v>75</v>
      </c>
      <c r="D2" s="4"/>
    </row>
    <row r="3" customHeight="1" spans="1:4">
      <c r="A3" s="6" t="s">
        <v>13</v>
      </c>
      <c r="B3" s="7" t="s">
        <v>76</v>
      </c>
      <c r="C3" s="5" t="s">
        <v>75</v>
      </c>
      <c r="D3" s="7"/>
    </row>
    <row r="4" customHeight="1" spans="1:4">
      <c r="A4" s="8" t="s">
        <v>39</v>
      </c>
      <c r="B4" s="9" t="s">
        <v>77</v>
      </c>
      <c r="C4" s="10" t="s">
        <v>75</v>
      </c>
      <c r="D4" s="9"/>
    </row>
    <row r="5" customHeight="1" spans="1:4">
      <c r="A5" s="6" t="s">
        <v>19</v>
      </c>
      <c r="B5" s="7" t="s">
        <v>78</v>
      </c>
      <c r="C5" s="11" t="s">
        <v>75</v>
      </c>
      <c r="D5" s="7"/>
    </row>
    <row r="6" customHeight="1" spans="1:4">
      <c r="A6" s="8" t="s">
        <v>22</v>
      </c>
      <c r="B6" s="9" t="s">
        <v>79</v>
      </c>
      <c r="C6" s="11" t="s">
        <v>75</v>
      </c>
      <c r="D6" s="9"/>
    </row>
    <row r="7" customHeight="1" spans="1:4">
      <c r="A7" s="6" t="s">
        <v>45</v>
      </c>
      <c r="B7" s="7"/>
      <c r="C7" s="7" t="s">
        <v>80</v>
      </c>
      <c r="D7" s="7"/>
    </row>
    <row r="8" customHeight="1" spans="1:4">
      <c r="A8" s="8" t="s">
        <v>81</v>
      </c>
      <c r="B8" s="9"/>
      <c r="C8" s="12" t="s">
        <v>80</v>
      </c>
      <c r="D8" s="9"/>
    </row>
    <row r="9" customHeight="1" spans="1:4">
      <c r="A9" s="6" t="s">
        <v>43</v>
      </c>
      <c r="B9" s="7" t="s">
        <v>82</v>
      </c>
      <c r="C9" s="11" t="s">
        <v>75</v>
      </c>
      <c r="D9" s="11"/>
    </row>
    <row r="10" customHeight="1" spans="1:4">
      <c r="A10" s="8" t="s">
        <v>83</v>
      </c>
      <c r="B10" s="9" t="s">
        <v>84</v>
      </c>
      <c r="C10" s="9" t="s">
        <v>85</v>
      </c>
      <c r="D10" s="12"/>
    </row>
    <row r="11" customHeight="1" spans="1:4">
      <c r="A11" s="8" t="s">
        <v>86</v>
      </c>
      <c r="B11" s="9"/>
      <c r="C11" s="9" t="s">
        <v>87</v>
      </c>
      <c r="D11" s="12"/>
    </row>
    <row r="12" customHeight="1" spans="1:4">
      <c r="A12" s="6" t="s">
        <v>88</v>
      </c>
      <c r="B12" s="7"/>
      <c r="C12" s="7"/>
      <c r="D12" s="7"/>
    </row>
    <row r="13" customHeight="1" spans="1:4">
      <c r="A13" s="8" t="s">
        <v>15</v>
      </c>
      <c r="B13" s="9"/>
      <c r="C13" s="9" t="s">
        <v>89</v>
      </c>
      <c r="D13" s="9"/>
    </row>
    <row r="14" customHeight="1" spans="1:4">
      <c r="A14" s="6" t="s">
        <v>90</v>
      </c>
      <c r="B14" s="11"/>
      <c r="C14" s="7" t="s">
        <v>91</v>
      </c>
      <c r="D14" s="7"/>
    </row>
    <row r="15" customHeight="1" spans="1:4">
      <c r="A15" s="8" t="s">
        <v>92</v>
      </c>
      <c r="B15" s="12"/>
      <c r="C15" s="9" t="s">
        <v>93</v>
      </c>
      <c r="D15" s="9"/>
    </row>
    <row r="16" customHeight="1" spans="1:4">
      <c r="A16" s="6" t="s">
        <v>53</v>
      </c>
      <c r="B16" s="7"/>
      <c r="C16" s="7" t="s">
        <v>89</v>
      </c>
      <c r="D16" s="7"/>
    </row>
    <row r="17" customHeight="1" spans="1:4">
      <c r="A17" s="8" t="s">
        <v>28</v>
      </c>
      <c r="B17" s="9"/>
      <c r="C17" s="9" t="s">
        <v>94</v>
      </c>
      <c r="D17" s="9"/>
    </row>
    <row r="18" customHeight="1" spans="1:4">
      <c r="A18" s="6" t="s">
        <v>95</v>
      </c>
      <c r="B18" s="7"/>
      <c r="C18" s="7" t="s">
        <v>96</v>
      </c>
      <c r="D18" s="7"/>
    </row>
    <row r="19" customHeight="1" spans="1:4">
      <c r="A19" s="8" t="s">
        <v>97</v>
      </c>
      <c r="B19" s="9"/>
      <c r="C19" s="9" t="s">
        <v>80</v>
      </c>
      <c r="D19" s="9"/>
    </row>
    <row r="20" customHeight="1" spans="1:4">
      <c r="A20" s="6" t="s">
        <v>98</v>
      </c>
      <c r="B20" s="7"/>
      <c r="C20" s="7"/>
      <c r="D20" s="7"/>
    </row>
    <row r="21" customHeight="1" spans="1:4">
      <c r="A21" s="8" t="s">
        <v>99</v>
      </c>
      <c r="B21" s="9"/>
      <c r="C21" s="9"/>
      <c r="D21" s="9"/>
    </row>
    <row r="22" customHeight="1" spans="1:4">
      <c r="A22" s="8" t="s">
        <v>100</v>
      </c>
      <c r="B22" s="9"/>
      <c r="C22" s="9" t="s">
        <v>101</v>
      </c>
      <c r="D22" s="12"/>
    </row>
    <row r="23" customHeight="1" spans="1:4">
      <c r="A23" s="6" t="s">
        <v>102</v>
      </c>
      <c r="B23" s="7"/>
      <c r="C23" s="7" t="s">
        <v>101</v>
      </c>
      <c r="D23" s="7"/>
    </row>
    <row r="24" customHeight="1" spans="1:4">
      <c r="A24" s="8"/>
      <c r="B24" s="9"/>
      <c r="C24" s="9"/>
      <c r="D24" s="9"/>
    </row>
    <row r="25" customHeight="1" spans="1:4">
      <c r="A25" s="6"/>
      <c r="B25" s="7"/>
      <c r="C25" s="7"/>
      <c r="D25" s="7"/>
    </row>
    <row r="26" customHeight="1" spans="1:4">
      <c r="A26" s="8"/>
      <c r="B26" s="9"/>
      <c r="C26" s="9"/>
      <c r="D26" s="9"/>
    </row>
    <row r="27" customHeight="1" spans="1:4">
      <c r="A27" s="6"/>
      <c r="B27" s="7"/>
      <c r="C27" s="7"/>
      <c r="D27" s="7"/>
    </row>
    <row r="28" customHeight="1" spans="1:4">
      <c r="A28" s="8"/>
      <c r="B28" s="9"/>
      <c r="C28" s="9"/>
      <c r="D28" s="9"/>
    </row>
    <row r="29" customHeight="1" spans="1:4">
      <c r="A29" s="6"/>
      <c r="B29" s="7"/>
      <c r="C29" s="7"/>
      <c r="D29" s="7"/>
    </row>
    <row r="30" customHeight="1" spans="1:4">
      <c r="A30" s="8"/>
      <c r="B30" s="9"/>
      <c r="C30" s="9"/>
      <c r="D30" s="9"/>
    </row>
    <row r="31" customHeight="1" spans="1:4">
      <c r="A31" s="6"/>
      <c r="B31" s="7"/>
      <c r="C31" s="7"/>
      <c r="D31" s="7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Company>GrapeCity, Inc.</Company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堂食利润</vt:lpstr>
      <vt:lpstr>菜单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yalla</cp:lastModifiedBy>
  <dcterms:created xsi:type="dcterms:W3CDTF">2026-02-15T04:30:00Z</dcterms:created>
  <dcterms:modified xsi:type="dcterms:W3CDTF">2026-05-14T10:24:56Z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2052-5.1.0.7912</vt:lpwstr>
  </property>
</Properties>
</file>